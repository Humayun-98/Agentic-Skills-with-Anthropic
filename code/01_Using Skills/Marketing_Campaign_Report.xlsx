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aw Data" sheetId="2" state="visible" r:id="rId4"/>
    <sheet name="Funnel Analysis" sheetId="3" state="visible" r:id="rId5"/>
    <sheet name="Efficiency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<sst xmlns="http://schemas.openxmlformats.org/spreadsheetml/2006/main" count="358" uniqueCount="89">
  <si>
    <t xml:space="preserve">Marketing Campaign Performance — Executive Summary</t>
  </si>
  <si>
    <t xml:space="preserve">Week of 2024-12-09  |  Channels: Email, Facebook Ads, Google Ads, TikTok Ads</t>
  </si>
  <si>
    <t xml:space="preserve">Key Findings</t>
  </si>
  <si>
    <t xml:space="preserve">Email and Google Ads are the strongest performers: both clear the 4.0x ROAS target by a wide margin, sit well under the $50 CPA cap, and post the largest net profit contributions.</t>
  </si>
  <si>
    <t xml:space="preserve">Facebook Ads is profitable and on-benchmark for CTR, but its 3.22% conversion rate trails the 3.8% benchmark, and ROAS sits just under the 115% increase threshold — recommend holding budget flat.</t>
  </si>
  <si>
    <t xml:space="preserve">TikTok Ads is the clear underperformer: ROAS is less than 50% of target and CPA exceeds the $50 cap, driving a net loss for the week. It qualifies for a heavy budget cut.</t>
  </si>
  <si>
    <t xml:space="preserve">Recommended action: cut TikTok Ads spend by 45%, fund modest 15%-capped increases to Email and Google Ads, and hold the remainder in reserve pending next week's results.</t>
  </si>
  <si>
    <t xml:space="preserve">Reallocation Assumptions</t>
  </si>
  <si>
    <t xml:space="preserve">Decrease — Heavy (%)</t>
  </si>
  <si>
    <t xml:space="preserve">Decrease — Light (%)</t>
  </si>
  <si>
    <t xml:space="preserve">Increase Cap (%)</t>
  </si>
  <si>
    <t xml:space="preserve">Reallocation Limit ($)</t>
  </si>
  <si>
    <t xml:space="preserve">Min Conversions for Eligibility</t>
  </si>
  <si>
    <t xml:space="preserve">Budget Reallocation</t>
  </si>
  <si>
    <t xml:space="preserve">Channel</t>
  </si>
  <si>
    <t xml:space="preserve">Current Spend</t>
  </si>
  <si>
    <t xml:space="preserve">Conversions</t>
  </si>
  <si>
    <t xml:space="preserve">Net Profit</t>
  </si>
  <si>
    <t xml:space="preserve">Eligible</t>
  </si>
  <si>
    <t xml:space="preserve">Classification</t>
  </si>
  <si>
    <t xml:space="preserve">Decrease $</t>
  </si>
  <si>
    <t xml:space="preserve">Proposed Increase $</t>
  </si>
  <si>
    <t xml:space="preserve">Capped Increase $</t>
  </si>
  <si>
    <t xml:space="preserve">Final Change $</t>
  </si>
  <si>
    <t xml:space="preserve">New Budget</t>
  </si>
  <si>
    <t xml:space="preserve">Freed Budget ($)</t>
  </si>
  <si>
    <t xml:space="preserve">Sum Net Profit (INCREASE channels)</t>
  </si>
  <si>
    <t xml:space="preserve">Sum Capped Increases ($)</t>
  </si>
  <si>
    <t xml:space="preserve">Scale Factor (limit / sum capped, max 1)</t>
  </si>
  <si>
    <t xml:space="preserve">Unallocated (Reserve) ($)</t>
  </si>
  <si>
    <t xml:space="preserve">date</t>
  </si>
  <si>
    <t xml:space="preserve">campaign_name</t>
  </si>
  <si>
    <t xml:space="preserve">channel</t>
  </si>
  <si>
    <t xml:space="preserve">segment</t>
  </si>
  <si>
    <t xml:space="preserve">impressions</t>
  </si>
  <si>
    <t xml:space="preserve">clicks</t>
  </si>
  <si>
    <t xml:space="preserve">conversions</t>
  </si>
  <si>
    <t xml:space="preserve">spend</t>
  </si>
  <si>
    <t xml:space="preserve">revenue</t>
  </si>
  <si>
    <t xml:space="preserve">orders</t>
  </si>
  <si>
    <t xml:space="preserve">2024-12-09</t>
  </si>
  <si>
    <t xml:space="preserve">Holiday_Sale_Prospecting</t>
  </si>
  <si>
    <t xml:space="preserve">Facebook_Ads</t>
  </si>
  <si>
    <t xml:space="preserve">New_Customers</t>
  </si>
  <si>
    <t xml:space="preserve">Holiday_Sale_Retargeting</t>
  </si>
  <si>
    <t xml:space="preserve">Retargeting</t>
  </si>
  <si>
    <t xml:space="preserve">Product_Launch_Awareness</t>
  </si>
  <si>
    <t xml:space="preserve">Brand_Search</t>
  </si>
  <si>
    <t xml:space="preserve">Google_Ads</t>
  </si>
  <si>
    <t xml:space="preserve">Shopping_Campaigns</t>
  </si>
  <si>
    <t xml:space="preserve">Dynamic_Remarketing</t>
  </si>
  <si>
    <t xml:space="preserve">Influencer_Collab_Video</t>
  </si>
  <si>
    <t xml:space="preserve">TikTok_Ads</t>
  </si>
  <si>
    <t xml:space="preserve">UGC_Content_Campaign</t>
  </si>
  <si>
    <t xml:space="preserve">Weekly_Newsletter</t>
  </si>
  <si>
    <t xml:space="preserve">Email</t>
  </si>
  <si>
    <t xml:space="preserve">Loyalty</t>
  </si>
  <si>
    <t xml:space="preserve">Abandoned_Cart_Sequence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</si>
  <si>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</si>
  <si>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</si>
  <si>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</si>
  <si>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</si>
  <si>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</si>
  <si>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</si>
  <si>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Funnel Analysis</t>
  </si>
  <si>
    <t xml:space="preserve">CTR = Clicks / Impressions. CVR = Conversions / Clicks. Benchmarks are editable inputs (blue).</t>
  </si>
  <si>
    <t xml:space="preserve">Impressions</t>
  </si>
  <si>
    <t xml:space="preserve">Clicks</t>
  </si>
  <si>
    <t xml:space="preserve">CTR Actual %</t>
  </si>
  <si>
    <t xml:space="preserve">CTR Benchmark %</t>
  </si>
  <si>
    <t xml:space="preserve">CTR Diff (pp)</t>
  </si>
  <si>
    <t xml:space="preserve">CVR Actual %</t>
  </si>
  <si>
    <t xml:space="preserve">CVR Benchmark %</t>
  </si>
  <si>
    <t xml:space="preserve">CVR Diff (pp)</t>
  </si>
  <si>
    <t xml:space="preserve">Efficiency Analysis</t>
  </si>
  <si>
    <t xml:space="preserve">Assumptions</t>
  </si>
  <si>
    <t xml:space="preserve">Shipping Cost per Order ($)</t>
  </si>
  <si>
    <t xml:space="preserve">Product Cost (% of Revenue)</t>
  </si>
  <si>
    <t xml:space="preserve">Target ROAS (x)</t>
  </si>
  <si>
    <t xml:space="preserve">Max CPA ($)</t>
  </si>
  <si>
    <t xml:space="preserve">Spend</t>
  </si>
  <si>
    <t xml:space="preserve">Revenue</t>
  </si>
  <si>
    <t xml:space="preserve">Orders</t>
  </si>
  <si>
    <t xml:space="preserve">ROAS</t>
  </si>
  <si>
    <t xml:space="preserve">CPA</t>
  </si>
  <si>
    <t xml:space="preserve">Total Costs</t>
  </si>
  <si>
    <t xml:space="preserve">ROAS Status</t>
  </si>
  <si>
    <t xml:space="preserve">CPA Status</t>
  </si>
  <si>
    <t xml:space="preserve">Net Profit Status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</si>
</sst>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\$#,##0"/>
    <numFmt numFmtId="167" formatCode="#,##0"/>
    <numFmt numFmtId="168" formatCode="\$#,##0.00"/>
    <numFmt numFmtId="169" formatCode="0.00"/>
    <numFmt numFmtId="170" formatCode="0.0\x"/>
    <numFmt numFmtId="171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699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5"/>
    <col collapsed="false" customWidth="true" hidden="false" outlineLevel="0" max="6" min="6" style="0" width="20"/>
    <col collapsed="false" customWidth="true" hidden="false" outlineLevel="0" max="11" min="7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str">
        <f aca="false">"Total spend across all channels: $"&amp;TEXT(SUM('Efficiency Analysis'!B10:B13),"#,##0")&amp;"  |  Total revenue: $"&amp;TEXT(SUM('Efficiency Analysis'!C10:C13),"#,##0")&amp;"  |  Total net profit: $"&amp;TEXT(SUM('Efficiency Analysis'!I10:I13),"#,##0")</f>
        <v>Total spend across all channels: $104,682  |  Total revenue: $631,976  |  Total net profit: $255,518</v>
      </c>
      <c r="B5" s="4"/>
      <c r="C5" s="4"/>
      <c r="D5" s="4"/>
      <c r="E5" s="4"/>
      <c r="F5" s="4"/>
    </row>
    <row r="6" customFormat="false" ht="27.75" hidden="false" customHeight="true" outlineLevel="0" collapsed="false">
      <c r="A6" s="4" t="s">
        <v>3</v>
      </c>
      <c r="B6" s="4"/>
      <c r="C6" s="4"/>
      <c r="D6" s="4"/>
      <c r="E6" s="4"/>
      <c r="F6" s="4"/>
    </row>
    <row r="7" customFormat="false" ht="27.75" hidden="false" customHeight="true" outlineLevel="0" collapsed="false">
      <c r="A7" s="4" t="s">
        <v>4</v>
      </c>
      <c r="B7" s="4"/>
      <c r="C7" s="4"/>
      <c r="D7" s="4"/>
      <c r="E7" s="4"/>
      <c r="F7" s="4"/>
    </row>
    <row r="8" customFormat="false" ht="27.75" hidden="false" customHeight="true" outlineLevel="0" collapsed="false">
      <c r="A8" s="4" t="s">
        <v>5</v>
      </c>
      <c r="B8" s="4"/>
      <c r="C8" s="4"/>
      <c r="D8" s="4"/>
      <c r="E8" s="4"/>
      <c r="F8" s="4"/>
    </row>
    <row r="9" customFormat="false" ht="27.75" hidden="false" customHeight="true" outlineLevel="0" collapsed="false">
      <c r="A9" s="4" t="s">
        <v>6</v>
      </c>
      <c r="B9" s="4"/>
      <c r="C9" s="4"/>
      <c r="D9" s="4"/>
      <c r="E9" s="4"/>
      <c r="F9" s="4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5" t="s">
        <v>8</v>
      </c>
      <c r="B12" s="6" t="n">
        <v>0.45</v>
      </c>
    </row>
    <row r="13" customFormat="false" ht="15" hidden="false" customHeight="false" outlineLevel="0" collapsed="false">
      <c r="A13" s="5" t="s">
        <v>9</v>
      </c>
      <c r="B13" s="6" t="n">
        <v>0.25</v>
      </c>
    </row>
    <row r="14" customFormat="false" ht="15" hidden="false" customHeight="false" outlineLevel="0" collapsed="false">
      <c r="A14" s="5" t="s">
        <v>10</v>
      </c>
      <c r="B14" s="6" t="n">
        <v>0.15</v>
      </c>
    </row>
    <row r="15" customFormat="false" ht="15" hidden="false" customHeight="false" outlineLevel="0" collapsed="false">
      <c r="A15" s="5" t="s">
        <v>11</v>
      </c>
      <c r="B15" s="7" t="n">
        <v>10000</v>
      </c>
    </row>
    <row r="16" customFormat="false" ht="15" hidden="false" customHeight="false" outlineLevel="0" collapsed="false">
      <c r="A16" s="5" t="s">
        <v>12</v>
      </c>
      <c r="B16" s="8" t="n">
        <v>50</v>
      </c>
    </row>
    <row r="19" customFormat="false" ht="15" hidden="false" customHeight="false" outlineLevel="0" collapsed="false">
      <c r="A19" s="3" t="s">
        <v>13</v>
      </c>
    </row>
    <row r="20" customFormat="false" ht="26.85" hidden="false" customHeight="false" outlineLevel="0" collapsed="false">
      <c r="A20" s="9" t="s">
        <v>14</v>
      </c>
      <c r="B20" s="9" t="s">
        <v>15</v>
      </c>
      <c r="C20" s="9" t="s">
        <v>16</v>
      </c>
      <c r="D20" s="9" t="s">
        <v>17</v>
      </c>
      <c r="E20" s="9" t="s">
        <v>18</v>
      </c>
      <c r="F20" s="9" t="s">
        <v>19</v>
      </c>
      <c r="G20" s="9" t="s">
        <v>20</v>
      </c>
      <c r="H20" s="9" t="s">
        <v>21</v>
      </c>
      <c r="I20" s="9" t="s">
        <v>22</v>
      </c>
      <c r="J20" s="9" t="s">
        <v>23</v>
      </c>
      <c r="K20" s="9" t="s">
        <v>24</v>
      </c>
    </row>
    <row r="21" customFormat="false" ht="15" hidden="false" customHeight="false" outlineLevel="0" collapsed="false">
      <c r="A21" s="10" t="str">
        <f aca="false">'Efficiency Analysis'!A10</f>
        <v>Email</v>
      </c>
      <c r="B21" s="11" t="n">
        <f aca="false">'Efficiency Analysis'!B10</f>
        <v>1836.76</v>
      </c>
      <c r="C21" s="12" t="n">
        <f aca="false">'Efficiency Analysis'!E10</f>
        <v>2335</v>
      </c>
      <c r="D21" s="11" t="n">
        <f aca="false">'Efficiency Analysis'!I10</f>
        <v>133943.0845</v>
      </c>
      <c r="E21" s="13" t="str">
        <f aca="false">IF(C21&gt;=$B$16,"Yes","No")</f>
        <v>Yes</v>
      </c>
      <c r="F21" s="13" t="str">
        <f aca="false">IF(E21="No","INSUFFICIENT_DATA -&gt; MAINTAIN",IF(OR(AND('Efficiency Analysis'!F10&lt;0.5*'Efficiency Analysis'!$B$6,D21&lt;=0),AND('Efficiency Analysis'!G10&gt;1.5*'Efficiency Analysis'!$B$7,D21&lt;=0),AND('Efficiency Analysis'!F10&lt;'Efficiency Analysis'!$B$6,'Efficiency Analysis'!G10&gt;'Efficiency Analysis'!$B$7,D21&lt;=0)),"DECREASE_HEAVY",IF(AND('Efficiency Analysis'!F10&gt;=1.15*'Efficiency Analysis'!$B$6,'Efficiency Analysis'!G10&lt;=0.8*'Efficiency Analysis'!$B$7,D21&gt;0),"INCREASE",IF(OR('Efficiency Analysis'!F10&lt;0.8*'Efficiency Analysis'!$B$6,'Efficiency Analysis'!G10&gt;1.2*'Efficiency Analysis'!$B$7),"DECREASE_LIGHT","MAINTAIN"))))</f>
        <v>INCREASE</v>
      </c>
      <c r="G21" s="14" t="n">
        <f aca="false">IF(F21="DECREASE_HEAVY",B21*$B$12,IF(F21="DECREASE_LIGHT",B21*$B$13,0))</f>
        <v>0</v>
      </c>
      <c r="H21" s="15" t="n">
        <f aca="false">IF(F21="INCREASE",$B$26*(D21/$B$27),0)</f>
        <v>11260.0706753146</v>
      </c>
      <c r="I21" s="15" t="n">
        <f aca="false">IF(F21="INCREASE",MIN(H21,B21*$B$14),0)</f>
        <v>275.514</v>
      </c>
      <c r="J21" s="15" t="n">
        <f aca="false">IF(F21="INCREASE",I21*$B$29,-G21)</f>
        <v>275.514</v>
      </c>
      <c r="K21" s="15" t="n">
        <f aca="false">B21+J21</f>
        <v>2112.274</v>
      </c>
    </row>
    <row r="22" customFormat="false" ht="15" hidden="false" customHeight="false" outlineLevel="0" collapsed="false">
      <c r="A22" s="10" t="str">
        <f aca="false">'Efficiency Analysis'!A11</f>
        <v>Facebook_Ads</v>
      </c>
      <c r="B22" s="11" t="n">
        <f aca="false">'Efficiency Analysis'!B11</f>
        <v>36678.01</v>
      </c>
      <c r="C22" s="12" t="n">
        <f aca="false">'Efficiency Analysis'!E11</f>
        <v>1674</v>
      </c>
      <c r="D22" s="11" t="n">
        <f aca="false">'Efficiency Analysis'!I11</f>
        <v>57493.7775</v>
      </c>
      <c r="E22" s="13" t="str">
        <f aca="false">IF(C22&gt;=$B$16,"Yes","No")</f>
        <v>Yes</v>
      </c>
      <c r="F22" s="13" t="str">
        <f aca="false">IF(E22="No","INSUFFICIENT_DATA -&gt; MAINTAIN",IF(OR(AND('Efficiency Analysis'!F11&lt;0.5*'Efficiency Analysis'!$B$6,D22&lt;=0),AND('Efficiency Analysis'!G11&gt;1.5*'Efficiency Analysis'!$B$7,D22&lt;=0),AND('Efficiency Analysis'!F11&lt;'Efficiency Analysis'!$B$6,'Efficiency Analysis'!G11&gt;'Efficiency Analysis'!$B$7,D22&lt;=0)),"DECREASE_HEAVY",IF(AND('Efficiency Analysis'!F11&gt;=1.15*'Efficiency Analysis'!$B$6,'Efficiency Analysis'!G11&lt;=0.8*'Efficiency Analysis'!$B$7,D22&gt;0),"INCREASE",IF(OR('Efficiency Analysis'!F11&lt;0.8*'Efficiency Analysis'!$B$6,'Efficiency Analysis'!G11&gt;1.2*'Efficiency Analysis'!$B$7),"DECREASE_LIGHT","MAINTAIN"))))</f>
        <v>MAINTAIN</v>
      </c>
      <c r="G22" s="14" t="n">
        <f aca="false">IF(F22="DECREASE_HEAVY",B22*$B$12,IF(F22="DECREASE_LIGHT",B22*$B$13,0))</f>
        <v>0</v>
      </c>
      <c r="H22" s="15" t="n">
        <f aca="false">IF(F22="INCREASE",$B$26*(D22/$B$27),0)</f>
        <v>0</v>
      </c>
      <c r="I22" s="15" t="n">
        <f aca="false">IF(F22="INCREASE",MIN(H22,B22*$B$14),0)</f>
        <v>0</v>
      </c>
      <c r="J22" s="15" t="n">
        <f aca="false">IF(F22="INCREASE",I22*$B$29,-G22)</f>
        <v>-0</v>
      </c>
      <c r="K22" s="15" t="n">
        <f aca="false">B22+J22</f>
        <v>36678.01</v>
      </c>
    </row>
    <row r="23" customFormat="false" ht="15" hidden="false" customHeight="false" outlineLevel="0" collapsed="false">
      <c r="A23" s="10" t="str">
        <f aca="false">'Efficiency Analysis'!A12</f>
        <v>Google_Ads</v>
      </c>
      <c r="B23" s="11" t="n">
        <f aca="false">'Efficiency Analysis'!B12</f>
        <v>28184.51</v>
      </c>
      <c r="C23" s="12" t="n">
        <f aca="false">'Efficiency Analysis'!E12</f>
        <v>1651</v>
      </c>
      <c r="D23" s="11" t="n">
        <f aca="false">'Efficiency Analysis'!I12</f>
        <v>69377.1555</v>
      </c>
      <c r="E23" s="13" t="str">
        <f aca="false">IF(C23&gt;=$B$16,"Yes","No")</f>
        <v>Yes</v>
      </c>
      <c r="F23" s="13" t="str">
        <f aca="false">IF(E23="No","INSUFFICIENT_DATA -&gt; MAINTAIN",IF(OR(AND('Efficiency Analysis'!F12&lt;0.5*'Efficiency Analysis'!$B$6,D23&lt;=0),AND('Efficiency Analysis'!G12&gt;1.5*'Efficiency Analysis'!$B$7,D23&lt;=0),AND('Efficiency Analysis'!F12&lt;'Efficiency Analysis'!$B$6,'Efficiency Analysis'!G12&gt;'Efficiency Analysis'!$B$7,D23&lt;=0)),"DECREASE_HEAVY",IF(AND('Efficiency Analysis'!F12&gt;=1.15*'Efficiency Analysis'!$B$6,'Efficiency Analysis'!G12&lt;=0.8*'Efficiency Analysis'!$B$7,D23&gt;0),"INCREASE",IF(OR('Efficiency Analysis'!F12&lt;0.8*'Efficiency Analysis'!$B$6,'Efficiency Analysis'!G12&gt;1.2*'Efficiency Analysis'!$B$7),"DECREASE_LIGHT","MAINTAIN"))))</f>
        <v>INCREASE</v>
      </c>
      <c r="G23" s="14" t="n">
        <f aca="false">IF(F23="DECREASE_HEAVY",B23*$B$12,IF(F23="DECREASE_LIGHT",B23*$B$13,0))</f>
        <v>0</v>
      </c>
      <c r="H23" s="15" t="n">
        <f aca="false">IF(F23="INCREASE",$B$26*(D23/$B$27),0)</f>
        <v>5832.26582468536</v>
      </c>
      <c r="I23" s="15" t="n">
        <f aca="false">IF(F23="INCREASE",MIN(H23,B23*$B$14),0)</f>
        <v>4227.6765</v>
      </c>
      <c r="J23" s="15" t="n">
        <f aca="false">IF(F23="INCREASE",I23*$B$29,-G23)</f>
        <v>4227.6765</v>
      </c>
      <c r="K23" s="15" t="n">
        <f aca="false">B23+J23</f>
        <v>32412.1865</v>
      </c>
    </row>
    <row r="24" customFormat="false" ht="15" hidden="false" customHeight="false" outlineLevel="0" collapsed="false">
      <c r="A24" s="10" t="str">
        <f aca="false">'Efficiency Analysis'!A13</f>
        <v>TikTok_Ads</v>
      </c>
      <c r="B24" s="11" t="n">
        <f aca="false">'Efficiency Analysis'!B13</f>
        <v>37982.97</v>
      </c>
      <c r="C24" s="12" t="n">
        <f aca="false">'Efficiency Analysis'!E13</f>
        <v>663</v>
      </c>
      <c r="D24" s="11" t="n">
        <f aca="false">'Efficiency Analysis'!I13</f>
        <v>-5295.9585</v>
      </c>
      <c r="E24" s="13" t="str">
        <f aca="false">IF(C24&gt;=$B$16,"Yes","No")</f>
        <v>Yes</v>
      </c>
      <c r="F24" s="13" t="str">
        <f aca="false">IF(E24="No","INSUFFICIENT_DATA -&gt; MAINTAIN",IF(OR(AND('Efficiency Analysis'!F13&lt;0.5*'Efficiency Analysis'!$B$6,D24&lt;=0),AND('Efficiency Analysis'!G13&gt;1.5*'Efficiency Analysis'!$B$7,D24&lt;=0),AND('Efficiency Analysis'!F13&lt;'Efficiency Analysis'!$B$6,'Efficiency Analysis'!G13&gt;'Efficiency Analysis'!$B$7,D24&lt;=0)),"DECREASE_HEAVY",IF(AND('Efficiency Analysis'!F13&gt;=1.15*'Efficiency Analysis'!$B$6,'Efficiency Analysis'!G13&lt;=0.8*'Efficiency Analysis'!$B$7,D24&gt;0),"INCREASE",IF(OR('Efficiency Analysis'!F13&lt;0.8*'Efficiency Analysis'!$B$6,'Efficiency Analysis'!G13&gt;1.2*'Efficiency Analysis'!$B$7),"DECREASE_LIGHT","MAINTAIN"))))</f>
        <v>DECREASE_HEAVY</v>
      </c>
      <c r="G24" s="14" t="n">
        <f aca="false">IF(F24="DECREASE_HEAVY",B24*$B$12,IF(F24="DECREASE_LIGHT",B24*$B$13,0))</f>
        <v>17092.3365</v>
      </c>
      <c r="H24" s="15" t="n">
        <f aca="false">IF(F24="INCREASE",$B$26*(D24/$B$27),0)</f>
        <v>0</v>
      </c>
      <c r="I24" s="15" t="n">
        <f aca="false">IF(F24="INCREASE",MIN(H24,B24*$B$14),0)</f>
        <v>0</v>
      </c>
      <c r="J24" s="15" t="n">
        <f aca="false">IF(F24="INCREASE",I24*$B$29,-G24)</f>
        <v>-17092.3365</v>
      </c>
      <c r="K24" s="15" t="n">
        <f aca="false">B24+J24</f>
        <v>20890.6335</v>
      </c>
    </row>
    <row r="26" customFormat="false" ht="15" hidden="false" customHeight="false" outlineLevel="0" collapsed="false">
      <c r="A26" s="5" t="s">
        <v>25</v>
      </c>
      <c r="B26" s="15" t="n">
        <f aca="false">SUM(G21:G24)</f>
        <v>17092.3365</v>
      </c>
    </row>
    <row r="27" customFormat="false" ht="15" hidden="false" customHeight="false" outlineLevel="0" collapsed="false">
      <c r="A27" s="5" t="s">
        <v>26</v>
      </c>
      <c r="B27" s="15" t="n">
        <f aca="false">SUMIF(F21:F24,"INCREASE",D21:D24)</f>
        <v>203320.24</v>
      </c>
    </row>
    <row r="28" customFormat="false" ht="15" hidden="false" customHeight="false" outlineLevel="0" collapsed="false">
      <c r="A28" s="5" t="s">
        <v>27</v>
      </c>
      <c r="B28" s="15" t="n">
        <f aca="false">SUM(I21:I24)</f>
        <v>4503.1905</v>
      </c>
    </row>
    <row r="29" customFormat="false" ht="15" hidden="false" customHeight="false" outlineLevel="0" collapsed="false">
      <c r="A29" s="5" t="s">
        <v>28</v>
      </c>
      <c r="B29" s="16" t="n">
        <f aca="false">IF($B$28=0,1,MIN(1,$B$15/$B$28))</f>
        <v>1</v>
      </c>
    </row>
    <row r="30" customFormat="false" ht="15" hidden="false" customHeight="false" outlineLevel="0" collapsed="false">
      <c r="A30" s="5" t="s">
        <v>29</v>
      </c>
      <c r="B30" s="15" t="n">
        <f aca="false">$B$26-SUM(J21:J24)</f>
        <v>29681.4825</v>
      </c>
    </row>
  </sheetData>
  <mergeCells count="7">
    <mergeCell ref="A1:F1"/>
    <mergeCell ref="A2:F2"/>
    <mergeCell ref="A5:F5"/>
    <mergeCell ref="A6:F6"/>
    <mergeCell ref="A7:F7"/>
    <mergeCell ref="A8:F8"/>
    <mergeCell ref="A9:F9"/>
  </mergeCells>
  <conditionalFormatting sqref="F21:F24">
    <cfRule type="expression" priority="2" aboveAverage="0" equalAverage="0" bottom="0" percent="0" rank="0" text="" dxfId="0">
      <formula>F21="INCREASE"</formula>
    </cfRule>
    <cfRule type="expression" priority="3" aboveAverage="0" equalAverage="0" bottom="0" percent="0" rank="0" text="" dxfId="1">
      <formula>F21="DECREASE_HEAVY"</formula>
    </cfRule>
    <cfRule type="expression" priority="4" aboveAverage="0" equalAverage="0" bottom="0" percent="0" rank="0" text="" dxfId="2">
      <formula>F21="DECREASE_LIGHT"</formula>
    </cfRule>
    <cfRule type="expression" priority="5" aboveAverage="0" equalAverage="0" bottom="0" percent="0" rank="0" text="" dxfId="3">
      <formula>F21="MAINTAIN"</formula>
    </cfRule>
  </conditionalFormatting>
  <conditionalFormatting sqref="J21:J24">
    <cfRule type="expression" priority="6" aboveAverage="0" equalAverage="0" bottom="0" percent="0" rank="0" text="" dxfId="0">
      <formula>J21&gt;0</formula>
    </cfRule>
    <cfRule type="expression" priority="7" aboveAverage="0" equalAverage="0" bottom="0" percent="0" rank="0" text="" dxfId="1">
      <formula>J21&lt;0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9" min="7" style="0" width="12"/>
    <col collapsed="false" customWidth="true" hidden="false" outlineLevel="0" max="10" min="10" style="0" width="9"/>
  </cols>
  <sheetData>
    <row r="1" customFormat="false" ht="15" hidden="false" customHeight="false" outlineLevel="0" collapsed="false">
      <c r="A1" s="17" t="s">
        <v>30</v>
      </c>
      <c r="B1" s="17" t="s">
        <v>31</v>
      </c>
      <c r="C1" s="17" t="s">
        <v>32</v>
      </c>
      <c r="D1" s="17" t="s">
        <v>33</v>
      </c>
      <c r="E1" s="17" t="s">
        <v>34</v>
      </c>
      <c r="F1" s="17" t="s">
        <v>35</v>
      </c>
      <c r="G1" s="17" t="s">
        <v>36</v>
      </c>
      <c r="H1" s="17" t="s">
        <v>37</v>
      </c>
      <c r="I1" s="17" t="s">
        <v>38</v>
      </c>
      <c r="J1" s="17" t="s">
        <v>39</v>
      </c>
    </row>
    <row r="2" customFormat="false" ht="15" hidden="false" customHeight="false" outlineLevel="0" collapsed="false">
      <c r="A2" s="18" t="s">
        <v>40</v>
      </c>
      <c r="B2" s="18" t="s">
        <v>41</v>
      </c>
      <c r="C2" s="18" t="s">
        <v>42</v>
      </c>
      <c r="D2" s="18" t="s">
        <v>43</v>
      </c>
      <c r="E2" s="18" t="n">
        <v>125279</v>
      </c>
      <c r="F2" s="18" t="n">
        <v>3169</v>
      </c>
      <c r="G2" s="18" t="n">
        <v>84</v>
      </c>
      <c r="H2" s="19" t="n">
        <v>2060.43</v>
      </c>
      <c r="I2" s="19" t="n">
        <v>7714.41</v>
      </c>
      <c r="J2" s="18" t="n">
        <v>84</v>
      </c>
    </row>
    <row r="3" customFormat="false" ht="15" hidden="false" customHeight="false" outlineLevel="0" collapsed="false">
      <c r="A3" s="18" t="s">
        <v>40</v>
      </c>
      <c r="B3" s="18" t="s">
        <v>44</v>
      </c>
      <c r="C3" s="18" t="s">
        <v>42</v>
      </c>
      <c r="D3" s="18" t="s">
        <v>45</v>
      </c>
      <c r="E3" s="18" t="n">
        <v>43118</v>
      </c>
      <c r="F3" s="18" t="n">
        <v>1724</v>
      </c>
      <c r="G3" s="18" t="n">
        <v>107</v>
      </c>
      <c r="H3" s="19" t="n">
        <v>1414.17</v>
      </c>
      <c r="I3" s="19" t="n">
        <v>11542.94</v>
      </c>
      <c r="J3" s="18" t="n">
        <v>107</v>
      </c>
    </row>
    <row r="4" customFormat="false" ht="15" hidden="false" customHeight="false" outlineLevel="0" collapsed="false">
      <c r="A4" s="18" t="s">
        <v>40</v>
      </c>
      <c r="B4" s="18" t="s">
        <v>46</v>
      </c>
      <c r="C4" s="18" t="s">
        <v>42</v>
      </c>
      <c r="D4" s="18" t="s">
        <v>43</v>
      </c>
      <c r="E4" s="18" t="n">
        <v>96975</v>
      </c>
      <c r="F4" s="18" t="n">
        <v>2205</v>
      </c>
      <c r="G4" s="18" t="n">
        <v>38</v>
      </c>
      <c r="H4" s="19" t="n">
        <v>1544.07</v>
      </c>
      <c r="I4" s="19" t="n">
        <v>3371.63</v>
      </c>
      <c r="J4" s="18" t="n">
        <v>38</v>
      </c>
    </row>
    <row r="5" customFormat="false" ht="15" hidden="false" customHeight="false" outlineLevel="0" collapsed="false">
      <c r="A5" s="18" t="s">
        <v>40</v>
      </c>
      <c r="B5" s="18" t="s">
        <v>47</v>
      </c>
      <c r="C5" s="18" t="s">
        <v>48</v>
      </c>
      <c r="D5" s="18" t="s">
        <v>43</v>
      </c>
      <c r="E5" s="18" t="n">
        <v>15628</v>
      </c>
      <c r="F5" s="18" t="n">
        <v>775</v>
      </c>
      <c r="G5" s="18" t="n">
        <v>95</v>
      </c>
      <c r="H5" s="19" t="n">
        <v>813.82</v>
      </c>
      <c r="I5" s="19" t="n">
        <v>9750.01</v>
      </c>
      <c r="J5" s="18" t="n">
        <v>95</v>
      </c>
    </row>
    <row r="6" customFormat="false" ht="15" hidden="false" customHeight="false" outlineLevel="0" collapsed="false">
      <c r="A6" s="18" t="s">
        <v>40</v>
      </c>
      <c r="B6" s="18" t="s">
        <v>49</v>
      </c>
      <c r="C6" s="18" t="s">
        <v>48</v>
      </c>
      <c r="D6" s="18" t="s">
        <v>43</v>
      </c>
      <c r="E6" s="18" t="n">
        <v>77393</v>
      </c>
      <c r="F6" s="18" t="n">
        <v>1917</v>
      </c>
      <c r="G6" s="18" t="n">
        <v>57</v>
      </c>
      <c r="H6" s="19" t="n">
        <v>1629.03</v>
      </c>
      <c r="I6" s="19" t="n">
        <v>5306.69</v>
      </c>
      <c r="J6" s="18" t="n">
        <v>57</v>
      </c>
    </row>
    <row r="7" customFormat="false" ht="15" hidden="false" customHeight="false" outlineLevel="0" collapsed="false">
      <c r="A7" s="18" t="s">
        <v>40</v>
      </c>
      <c r="B7" s="18" t="s">
        <v>50</v>
      </c>
      <c r="C7" s="18" t="s">
        <v>48</v>
      </c>
      <c r="D7" s="18" t="s">
        <v>45</v>
      </c>
      <c r="E7" s="18" t="n">
        <v>36298</v>
      </c>
      <c r="F7" s="18" t="n">
        <v>1366</v>
      </c>
      <c r="G7" s="18" t="n">
        <v>71</v>
      </c>
      <c r="H7" s="19" t="n">
        <v>1297.63</v>
      </c>
      <c r="I7" s="19" t="n">
        <v>7856.04</v>
      </c>
      <c r="J7" s="18" t="n">
        <v>71</v>
      </c>
    </row>
    <row r="8" customFormat="false" ht="15" hidden="false" customHeight="false" outlineLevel="0" collapsed="false">
      <c r="A8" s="18" t="s">
        <v>40</v>
      </c>
      <c r="B8" s="18" t="s">
        <v>51</v>
      </c>
      <c r="C8" s="18" t="s">
        <v>52</v>
      </c>
      <c r="D8" s="18" t="s">
        <v>43</v>
      </c>
      <c r="E8" s="18" t="n">
        <v>244182</v>
      </c>
      <c r="F8" s="18" t="n">
        <v>4983</v>
      </c>
      <c r="G8" s="18" t="n">
        <v>47</v>
      </c>
      <c r="H8" s="19" t="n">
        <v>2890.61</v>
      </c>
      <c r="I8" s="19" t="n">
        <v>4057.74</v>
      </c>
      <c r="J8" s="18" t="n">
        <v>47</v>
      </c>
    </row>
    <row r="9" customFormat="false" ht="15" hidden="false" customHeight="false" outlineLevel="0" collapsed="false">
      <c r="A9" s="18" t="s">
        <v>40</v>
      </c>
      <c r="B9" s="18" t="s">
        <v>53</v>
      </c>
      <c r="C9" s="18" t="s">
        <v>52</v>
      </c>
      <c r="D9" s="18" t="s">
        <v>43</v>
      </c>
      <c r="E9" s="18" t="n">
        <v>208784</v>
      </c>
      <c r="F9" s="18" t="n">
        <v>3839</v>
      </c>
      <c r="G9" s="18" t="n">
        <v>45</v>
      </c>
      <c r="H9" s="19" t="n">
        <v>2380.65</v>
      </c>
      <c r="I9" s="19" t="n">
        <v>4104.67</v>
      </c>
      <c r="J9" s="18" t="n">
        <v>45</v>
      </c>
    </row>
    <row r="10" customFormat="false" ht="15" hidden="false" customHeight="false" outlineLevel="0" collapsed="false">
      <c r="A10" s="18" t="s">
        <v>40</v>
      </c>
      <c r="B10" s="18" t="s">
        <v>54</v>
      </c>
      <c r="C10" s="18" t="s">
        <v>55</v>
      </c>
      <c r="D10" s="18" t="s">
        <v>56</v>
      </c>
      <c r="E10" s="18"/>
      <c r="F10" s="18" t="n">
        <v>14001</v>
      </c>
      <c r="G10" s="18" t="n">
        <v>297</v>
      </c>
      <c r="H10" s="19" t="n">
        <v>279.3</v>
      </c>
      <c r="I10" s="19" t="n">
        <v>29050.54</v>
      </c>
      <c r="J10" s="18" t="n">
        <v>297</v>
      </c>
    </row>
    <row r="11" customFormat="false" ht="15" hidden="false" customHeight="false" outlineLevel="0" collapsed="false">
      <c r="A11" s="18" t="s">
        <v>40</v>
      </c>
      <c r="B11" s="18" t="s">
        <v>57</v>
      </c>
      <c r="C11" s="18" t="s">
        <v>55</v>
      </c>
      <c r="D11" s="18" t="s">
        <v>45</v>
      </c>
      <c r="E11" s="18"/>
      <c r="F11" s="18" t="n">
        <v>2462</v>
      </c>
      <c r="G11" s="18" t="n">
        <v>84</v>
      </c>
      <c r="H11" s="19" t="n">
        <v>24.37</v>
      </c>
      <c r="I11" s="19" t="n">
        <v>9633.95</v>
      </c>
      <c r="J11" s="18" t="n">
        <v>84</v>
      </c>
    </row>
    <row r="12" customFormat="false" ht="15" hidden="false" customHeight="false" outlineLevel="0" collapsed="false">
      <c r="A12" s="18" t="s">
        <v>58</v>
      </c>
      <c r="B12" s="18" t="s">
        <v>41</v>
      </c>
      <c r="C12" s="18" t="s">
        <v>42</v>
      </c>
      <c r="D12" s="18" t="s">
        <v>43</v>
      </c>
      <c r="E12" s="18" t="n">
        <v>130163</v>
      </c>
      <c r="F12" s="18" t="n">
        <v>3293</v>
      </c>
      <c r="G12" s="18" t="n">
        <v>87</v>
      </c>
      <c r="H12" s="19" t="n">
        <v>2140.76</v>
      </c>
      <c r="I12" s="19" t="n">
        <v>8015.15</v>
      </c>
      <c r="J12" s="18" t="n">
        <v>87</v>
      </c>
    </row>
    <row r="13" customFormat="false" ht="15" hidden="false" customHeight="false" outlineLevel="0" collapsed="false">
      <c r="A13" s="18" t="s">
        <v>58</v>
      </c>
      <c r="B13" s="18" t="s">
        <v>44</v>
      </c>
      <c r="C13" s="18" t="s">
        <v>42</v>
      </c>
      <c r="D13" s="18" t="s">
        <v>45</v>
      </c>
      <c r="E13" s="18" t="n">
        <v>39463</v>
      </c>
      <c r="F13" s="18" t="n">
        <v>1578</v>
      </c>
      <c r="G13" s="18" t="n">
        <v>98</v>
      </c>
      <c r="H13" s="19" t="n">
        <v>1294.29</v>
      </c>
      <c r="I13" s="19" t="n">
        <v>10564.44</v>
      </c>
      <c r="J13" s="18" t="n">
        <v>98</v>
      </c>
    </row>
    <row r="14" customFormat="false" ht="15" hidden="false" customHeight="false" outlineLevel="0" collapsed="false">
      <c r="A14" s="18" t="s">
        <v>58</v>
      </c>
      <c r="B14" s="18" t="s">
        <v>46</v>
      </c>
      <c r="C14" s="18" t="s">
        <v>42</v>
      </c>
      <c r="D14" s="18" t="s">
        <v>43</v>
      </c>
      <c r="E14" s="18" t="n">
        <v>98898</v>
      </c>
      <c r="F14" s="18" t="n">
        <v>2248</v>
      </c>
      <c r="G14" s="18" t="n">
        <v>39</v>
      </c>
      <c r="H14" s="19" t="n">
        <v>1574.69</v>
      </c>
      <c r="I14" s="19" t="n">
        <v>3438.51</v>
      </c>
      <c r="J14" s="18" t="n">
        <v>39</v>
      </c>
    </row>
    <row r="15" customFormat="false" ht="15" hidden="false" customHeight="false" outlineLevel="0" collapsed="false">
      <c r="A15" s="18" t="s">
        <v>58</v>
      </c>
      <c r="B15" s="18" t="s">
        <v>47</v>
      </c>
      <c r="C15" s="18" t="s">
        <v>48</v>
      </c>
      <c r="D15" s="18" t="s">
        <v>43</v>
      </c>
      <c r="E15" s="18" t="n">
        <v>17410</v>
      </c>
      <c r="F15" s="18" t="n">
        <v>863</v>
      </c>
      <c r="G15" s="18" t="n">
        <v>106</v>
      </c>
      <c r="H15" s="19" t="n">
        <v>906.65</v>
      </c>
      <c r="I15" s="19" t="n">
        <v>10862.09</v>
      </c>
      <c r="J15" s="18" t="n">
        <v>106</v>
      </c>
    </row>
    <row r="16" customFormat="false" ht="15" hidden="false" customHeight="false" outlineLevel="0" collapsed="false">
      <c r="A16" s="18" t="s">
        <v>58</v>
      </c>
      <c r="B16" s="18" t="s">
        <v>49</v>
      </c>
      <c r="C16" s="18" t="s">
        <v>48</v>
      </c>
      <c r="D16" s="18" t="s">
        <v>43</v>
      </c>
      <c r="E16" s="18" t="n">
        <v>93584</v>
      </c>
      <c r="F16" s="18" t="n">
        <v>2318</v>
      </c>
      <c r="G16" s="18" t="n">
        <v>69</v>
      </c>
      <c r="H16" s="19" t="n">
        <v>1969.82</v>
      </c>
      <c r="I16" s="19" t="n">
        <v>6416.83</v>
      </c>
      <c r="J16" s="18" t="n">
        <v>69</v>
      </c>
    </row>
    <row r="17" customFormat="false" ht="15" hidden="false" customHeight="false" outlineLevel="0" collapsed="false">
      <c r="A17" s="18" t="s">
        <v>58</v>
      </c>
      <c r="B17" s="18" t="s">
        <v>50</v>
      </c>
      <c r="C17" s="18" t="s">
        <v>48</v>
      </c>
      <c r="D17" s="18" t="s">
        <v>45</v>
      </c>
      <c r="E17" s="18" t="n">
        <v>39271</v>
      </c>
      <c r="F17" s="18" t="n">
        <v>1478</v>
      </c>
      <c r="G17" s="18" t="n">
        <v>76</v>
      </c>
      <c r="H17" s="19" t="n">
        <v>1403.91</v>
      </c>
      <c r="I17" s="19" t="n">
        <v>8499.46</v>
      </c>
      <c r="J17" s="18" t="n">
        <v>76</v>
      </c>
    </row>
    <row r="18" customFormat="false" ht="15" hidden="false" customHeight="false" outlineLevel="0" collapsed="false">
      <c r="A18" s="18" t="s">
        <v>58</v>
      </c>
      <c r="B18" s="18" t="s">
        <v>51</v>
      </c>
      <c r="C18" s="18" t="s">
        <v>52</v>
      </c>
      <c r="D18" s="18" t="s">
        <v>43</v>
      </c>
      <c r="E18" s="18" t="n">
        <v>290292</v>
      </c>
      <c r="F18" s="18" t="n">
        <v>5924</v>
      </c>
      <c r="G18" s="18" t="n">
        <v>56</v>
      </c>
      <c r="H18" s="19" t="n">
        <v>3436.45</v>
      </c>
      <c r="I18" s="19" t="n">
        <v>4823.97</v>
      </c>
      <c r="J18" s="18" t="n">
        <v>56</v>
      </c>
    </row>
    <row r="19" customFormat="false" ht="15" hidden="false" customHeight="false" outlineLevel="0" collapsed="false">
      <c r="A19" s="18" t="s">
        <v>58</v>
      </c>
      <c r="B19" s="18" t="s">
        <v>53</v>
      </c>
      <c r="C19" s="18" t="s">
        <v>52</v>
      </c>
      <c r="D19" s="18" t="s">
        <v>43</v>
      </c>
      <c r="E19" s="18" t="n">
        <v>218783</v>
      </c>
      <c r="F19" s="18" t="n">
        <v>4023</v>
      </c>
      <c r="G19" s="18" t="n">
        <v>47</v>
      </c>
      <c r="H19" s="19" t="n">
        <v>2494.66</v>
      </c>
      <c r="I19" s="19" t="n">
        <v>4301.25</v>
      </c>
      <c r="J19" s="18" t="n">
        <v>47</v>
      </c>
    </row>
    <row r="20" customFormat="false" ht="15" hidden="false" customHeight="false" outlineLevel="0" collapsed="false">
      <c r="A20" s="18" t="s">
        <v>58</v>
      </c>
      <c r="B20" s="18" t="s">
        <v>54</v>
      </c>
      <c r="C20" s="18" t="s">
        <v>55</v>
      </c>
      <c r="D20" s="18" t="s">
        <v>56</v>
      </c>
      <c r="E20" s="18"/>
      <c r="F20" s="18" t="n">
        <v>11265</v>
      </c>
      <c r="G20" s="18" t="n">
        <v>239</v>
      </c>
      <c r="H20" s="19" t="n">
        <v>224.73</v>
      </c>
      <c r="I20" s="19" t="n">
        <v>23374.21</v>
      </c>
      <c r="J20" s="18" t="n">
        <v>239</v>
      </c>
    </row>
    <row r="21" customFormat="false" ht="15" hidden="false" customHeight="false" outlineLevel="0" collapsed="false">
      <c r="A21" s="18" t="s">
        <v>58</v>
      </c>
      <c r="B21" s="18" t="s">
        <v>57</v>
      </c>
      <c r="C21" s="18" t="s">
        <v>55</v>
      </c>
      <c r="D21" s="18" t="s">
        <v>45</v>
      </c>
      <c r="E21" s="18"/>
      <c r="F21" s="18" t="n">
        <v>2466</v>
      </c>
      <c r="G21" s="18" t="n">
        <v>84</v>
      </c>
      <c r="H21" s="19" t="n">
        <v>24.41</v>
      </c>
      <c r="I21" s="19" t="n">
        <v>9647.44</v>
      </c>
      <c r="J21" s="18" t="n">
        <v>84</v>
      </c>
    </row>
    <row r="22" customFormat="false" ht="15" hidden="false" customHeight="false" outlineLevel="0" collapsed="false">
      <c r="A22" s="18" t="s">
        <v>59</v>
      </c>
      <c r="B22" s="18" t="s">
        <v>41</v>
      </c>
      <c r="C22" s="18" t="s">
        <v>42</v>
      </c>
      <c r="D22" s="18" t="s">
        <v>43</v>
      </c>
      <c r="E22" s="18" t="n">
        <v>141306</v>
      </c>
      <c r="F22" s="18" t="n">
        <v>3575</v>
      </c>
      <c r="G22" s="18" t="n">
        <v>94</v>
      </c>
      <c r="H22" s="19" t="n">
        <v>2324.03</v>
      </c>
      <c r="I22" s="19" t="n">
        <v>8701.33</v>
      </c>
      <c r="J22" s="18" t="n">
        <v>94</v>
      </c>
    </row>
    <row r="23" customFormat="false" ht="15" hidden="false" customHeight="false" outlineLevel="0" collapsed="false">
      <c r="A23" s="18" t="s">
        <v>59</v>
      </c>
      <c r="B23" s="18" t="s">
        <v>44</v>
      </c>
      <c r="C23" s="18" t="s">
        <v>42</v>
      </c>
      <c r="D23" s="18" t="s">
        <v>45</v>
      </c>
      <c r="E23" s="18" t="n">
        <v>43932</v>
      </c>
      <c r="F23" s="18" t="n">
        <v>1756</v>
      </c>
      <c r="G23" s="18" t="n">
        <v>109</v>
      </c>
      <c r="H23" s="19" t="n">
        <v>1440.86</v>
      </c>
      <c r="I23" s="19" t="n">
        <v>11760.85</v>
      </c>
      <c r="J23" s="18" t="n">
        <v>109</v>
      </c>
    </row>
    <row r="24" customFormat="false" ht="15" hidden="false" customHeight="false" outlineLevel="0" collapsed="false">
      <c r="A24" s="18" t="s">
        <v>59</v>
      </c>
      <c r="B24" s="18" t="s">
        <v>46</v>
      </c>
      <c r="C24" s="18" t="s">
        <v>42</v>
      </c>
      <c r="D24" s="18" t="s">
        <v>43</v>
      </c>
      <c r="E24" s="18" t="n">
        <v>86612</v>
      </c>
      <c r="F24" s="18" t="n">
        <v>1969</v>
      </c>
      <c r="G24" s="18" t="n">
        <v>34</v>
      </c>
      <c r="H24" s="19" t="n">
        <v>1379.06</v>
      </c>
      <c r="I24" s="19" t="n">
        <v>3011.33</v>
      </c>
      <c r="J24" s="18" t="n">
        <v>34</v>
      </c>
    </row>
    <row r="25" customFormat="false" ht="15" hidden="false" customHeight="false" outlineLevel="0" collapsed="false">
      <c r="A25" s="18" t="s">
        <v>59</v>
      </c>
      <c r="B25" s="18" t="s">
        <v>47</v>
      </c>
      <c r="C25" s="18" t="s">
        <v>48</v>
      </c>
      <c r="D25" s="18" t="s">
        <v>43</v>
      </c>
      <c r="E25" s="18" t="n">
        <v>14422</v>
      </c>
      <c r="F25" s="18" t="n">
        <v>715</v>
      </c>
      <c r="G25" s="18" t="n">
        <v>87</v>
      </c>
      <c r="H25" s="19" t="n">
        <v>751.06</v>
      </c>
      <c r="I25" s="19" t="n">
        <v>8998.08</v>
      </c>
      <c r="J25" s="18" t="n">
        <v>87</v>
      </c>
    </row>
    <row r="26" customFormat="false" ht="15" hidden="false" customHeight="false" outlineLevel="0" collapsed="false">
      <c r="A26" s="18" t="s">
        <v>59</v>
      </c>
      <c r="B26" s="18" t="s">
        <v>49</v>
      </c>
      <c r="C26" s="18" t="s">
        <v>48</v>
      </c>
      <c r="D26" s="18" t="s">
        <v>43</v>
      </c>
      <c r="E26" s="18" t="n">
        <v>80728</v>
      </c>
      <c r="F26" s="18" t="n">
        <v>1999</v>
      </c>
      <c r="G26" s="18" t="n">
        <v>59</v>
      </c>
      <c r="H26" s="19" t="n">
        <v>1699.22</v>
      </c>
      <c r="I26" s="19" t="n">
        <v>5535.35</v>
      </c>
      <c r="J26" s="18" t="n">
        <v>59</v>
      </c>
    </row>
    <row r="27" customFormat="false" ht="15" hidden="false" customHeight="false" outlineLevel="0" collapsed="false">
      <c r="A27" s="18" t="s">
        <v>59</v>
      </c>
      <c r="B27" s="18" t="s">
        <v>50</v>
      </c>
      <c r="C27" s="18" t="s">
        <v>48</v>
      </c>
      <c r="D27" s="18" t="s">
        <v>45</v>
      </c>
      <c r="E27" s="18" t="n">
        <v>41764</v>
      </c>
      <c r="F27" s="18" t="n">
        <v>1571</v>
      </c>
      <c r="G27" s="18" t="n">
        <v>81</v>
      </c>
      <c r="H27" s="19" t="n">
        <v>1493.05</v>
      </c>
      <c r="I27" s="19" t="n">
        <v>9039.09</v>
      </c>
      <c r="J27" s="18" t="n">
        <v>81</v>
      </c>
    </row>
    <row r="28" customFormat="false" ht="15" hidden="false" customHeight="false" outlineLevel="0" collapsed="false">
      <c r="A28" s="18" t="s">
        <v>59</v>
      </c>
      <c r="B28" s="18" t="s">
        <v>51</v>
      </c>
      <c r="C28" s="18" t="s">
        <v>52</v>
      </c>
      <c r="D28" s="18" t="s">
        <v>43</v>
      </c>
      <c r="E28" s="18" t="n">
        <v>288988</v>
      </c>
      <c r="F28" s="18" t="n">
        <v>5898</v>
      </c>
      <c r="G28" s="18" t="n">
        <v>56</v>
      </c>
      <c r="H28" s="19" t="n">
        <v>3421.01</v>
      </c>
      <c r="I28" s="19" t="n">
        <v>4802.29</v>
      </c>
      <c r="J28" s="18" t="n">
        <v>56</v>
      </c>
    </row>
    <row r="29" customFormat="false" ht="15" hidden="false" customHeight="false" outlineLevel="0" collapsed="false">
      <c r="A29" s="18" t="s">
        <v>59</v>
      </c>
      <c r="B29" s="18" t="s">
        <v>53</v>
      </c>
      <c r="C29" s="18" t="s">
        <v>52</v>
      </c>
      <c r="D29" s="18" t="s">
        <v>43</v>
      </c>
      <c r="E29" s="18" t="n">
        <v>179785</v>
      </c>
      <c r="F29" s="18" t="n">
        <v>3306</v>
      </c>
      <c r="G29" s="18" t="n">
        <v>39</v>
      </c>
      <c r="H29" s="19" t="n">
        <v>2049.99</v>
      </c>
      <c r="I29" s="19" t="n">
        <v>3534.55</v>
      </c>
      <c r="J29" s="18" t="n">
        <v>39</v>
      </c>
    </row>
    <row r="30" customFormat="false" ht="15" hidden="false" customHeight="false" outlineLevel="0" collapsed="false">
      <c r="A30" s="18" t="s">
        <v>59</v>
      </c>
      <c r="B30" s="18" t="s">
        <v>54</v>
      </c>
      <c r="C30" s="18" t="s">
        <v>55</v>
      </c>
      <c r="D30" s="18" t="s">
        <v>56</v>
      </c>
      <c r="E30" s="18"/>
      <c r="F30" s="18" t="n">
        <v>11140</v>
      </c>
      <c r="G30" s="18" t="n">
        <v>237</v>
      </c>
      <c r="H30" s="19" t="n">
        <v>222.24</v>
      </c>
      <c r="I30" s="19" t="n">
        <v>23115.38</v>
      </c>
      <c r="J30" s="18" t="n">
        <v>237</v>
      </c>
    </row>
    <row r="31" customFormat="false" ht="15" hidden="false" customHeight="false" outlineLevel="0" collapsed="false">
      <c r="A31" s="18" t="s">
        <v>59</v>
      </c>
      <c r="B31" s="18" t="s">
        <v>57</v>
      </c>
      <c r="C31" s="18" t="s">
        <v>55</v>
      </c>
      <c r="D31" s="18" t="s">
        <v>45</v>
      </c>
      <c r="E31" s="18"/>
      <c r="F31" s="18" t="n">
        <v>2121</v>
      </c>
      <c r="G31" s="18" t="n">
        <v>72</v>
      </c>
      <c r="H31" s="19" t="n">
        <v>21</v>
      </c>
      <c r="I31" s="19" t="n">
        <v>8298.95</v>
      </c>
      <c r="J31" s="18" t="n">
        <v>72</v>
      </c>
    </row>
    <row r="32" customFormat="false" ht="15" hidden="false" customHeight="false" outlineLevel="0" collapsed="false">
      <c r="A32" s="18" t="s">
        <v>60</v>
      </c>
      <c r="B32" s="18" t="s">
        <v>41</v>
      </c>
      <c r="C32" s="18" t="s">
        <v>42</v>
      </c>
      <c r="D32" s="18" t="s">
        <v>43</v>
      </c>
      <c r="E32" s="18" t="n">
        <v>138154</v>
      </c>
      <c r="F32" s="18" t="n">
        <v>3495</v>
      </c>
      <c r="G32" s="18" t="n">
        <v>92</v>
      </c>
      <c r="H32" s="19" t="n">
        <v>2272.19</v>
      </c>
      <c r="I32" s="19" t="n">
        <v>8507.24</v>
      </c>
      <c r="J32" s="18" t="n">
        <v>92</v>
      </c>
    </row>
    <row r="33" customFormat="false" ht="15" hidden="false" customHeight="false" outlineLevel="0" collapsed="false">
      <c r="A33" s="18" t="s">
        <v>60</v>
      </c>
      <c r="B33" s="18" t="s">
        <v>44</v>
      </c>
      <c r="C33" s="18" t="s">
        <v>42</v>
      </c>
      <c r="D33" s="18" t="s">
        <v>45</v>
      </c>
      <c r="E33" s="18" t="n">
        <v>46835</v>
      </c>
      <c r="F33" s="18" t="n">
        <v>1873</v>
      </c>
      <c r="G33" s="18" t="n">
        <v>117</v>
      </c>
      <c r="H33" s="19" t="n">
        <v>1536.08</v>
      </c>
      <c r="I33" s="19" t="n">
        <v>12538.07</v>
      </c>
      <c r="J33" s="18" t="n">
        <v>117</v>
      </c>
    </row>
    <row r="34" customFormat="false" ht="15" hidden="false" customHeight="false" outlineLevel="0" collapsed="false">
      <c r="A34" s="18" t="s">
        <v>60</v>
      </c>
      <c r="B34" s="18" t="s">
        <v>46</v>
      </c>
      <c r="C34" s="18" t="s">
        <v>42</v>
      </c>
      <c r="D34" s="18" t="s">
        <v>43</v>
      </c>
      <c r="E34" s="18" t="n">
        <v>95435</v>
      </c>
      <c r="F34" s="18" t="n">
        <v>2170</v>
      </c>
      <c r="G34" s="18" t="n">
        <v>37</v>
      </c>
      <c r="H34" s="19" t="n">
        <v>1519.55</v>
      </c>
      <c r="I34" s="19" t="n">
        <v>3318.1</v>
      </c>
      <c r="J34" s="18" t="n">
        <v>37</v>
      </c>
    </row>
    <row r="35" customFormat="false" ht="15" hidden="false" customHeight="false" outlineLevel="0" collapsed="false">
      <c r="A35" s="18" t="s">
        <v>60</v>
      </c>
      <c r="B35" s="18" t="s">
        <v>47</v>
      </c>
      <c r="C35" s="18" t="s">
        <v>48</v>
      </c>
      <c r="D35" s="18" t="s">
        <v>43</v>
      </c>
      <c r="E35" s="18" t="n">
        <v>15136</v>
      </c>
      <c r="F35" s="18" t="n">
        <v>750</v>
      </c>
      <c r="G35" s="18" t="n">
        <v>92</v>
      </c>
      <c r="H35" s="19" t="n">
        <v>788.21</v>
      </c>
      <c r="I35" s="19" t="n">
        <v>9443.2</v>
      </c>
      <c r="J35" s="18" t="n">
        <v>92</v>
      </c>
    </row>
    <row r="36" customFormat="false" ht="15" hidden="false" customHeight="false" outlineLevel="0" collapsed="false">
      <c r="A36" s="18" t="s">
        <v>60</v>
      </c>
      <c r="B36" s="18" t="s">
        <v>49</v>
      </c>
      <c r="C36" s="18" t="s">
        <v>48</v>
      </c>
      <c r="D36" s="18" t="s">
        <v>43</v>
      </c>
      <c r="E36" s="18" t="n">
        <v>79650</v>
      </c>
      <c r="F36" s="18" t="n">
        <v>1973</v>
      </c>
      <c r="G36" s="18" t="n">
        <v>58</v>
      </c>
      <c r="H36" s="19" t="n">
        <v>1676.54</v>
      </c>
      <c r="I36" s="19" t="n">
        <v>5461.45</v>
      </c>
      <c r="J36" s="18" t="n">
        <v>58</v>
      </c>
    </row>
    <row r="37" customFormat="false" ht="15" hidden="false" customHeight="false" outlineLevel="0" collapsed="false">
      <c r="A37" s="18" t="s">
        <v>60</v>
      </c>
      <c r="B37" s="18" t="s">
        <v>50</v>
      </c>
      <c r="C37" s="18" t="s">
        <v>48</v>
      </c>
      <c r="D37" s="18" t="s">
        <v>45</v>
      </c>
      <c r="E37" s="18" t="n">
        <v>37349</v>
      </c>
      <c r="F37" s="18" t="n">
        <v>1405</v>
      </c>
      <c r="G37" s="18" t="n">
        <v>73</v>
      </c>
      <c r="H37" s="19" t="n">
        <v>1335.19</v>
      </c>
      <c r="I37" s="19" t="n">
        <v>8083.42</v>
      </c>
      <c r="J37" s="18" t="n">
        <v>73</v>
      </c>
    </row>
    <row r="38" customFormat="false" ht="15" hidden="false" customHeight="false" outlineLevel="0" collapsed="false">
      <c r="A38" s="18" t="s">
        <v>60</v>
      </c>
      <c r="B38" s="18" t="s">
        <v>51</v>
      </c>
      <c r="C38" s="18" t="s">
        <v>52</v>
      </c>
      <c r="D38" s="18" t="s">
        <v>43</v>
      </c>
      <c r="E38" s="18" t="n">
        <v>242963</v>
      </c>
      <c r="F38" s="18" t="n">
        <v>4958</v>
      </c>
      <c r="G38" s="18" t="n">
        <v>47</v>
      </c>
      <c r="H38" s="19" t="n">
        <v>2876.18</v>
      </c>
      <c r="I38" s="19" t="n">
        <v>4037.48</v>
      </c>
      <c r="J38" s="18" t="n">
        <v>47</v>
      </c>
    </row>
    <row r="39" customFormat="false" ht="15" hidden="false" customHeight="false" outlineLevel="0" collapsed="false">
      <c r="A39" s="18" t="s">
        <v>60</v>
      </c>
      <c r="B39" s="18" t="s">
        <v>53</v>
      </c>
      <c r="C39" s="18" t="s">
        <v>52</v>
      </c>
      <c r="D39" s="18" t="s">
        <v>43</v>
      </c>
      <c r="E39" s="18" t="n">
        <v>220333</v>
      </c>
      <c r="F39" s="18" t="n">
        <v>4051</v>
      </c>
      <c r="G39" s="18" t="n">
        <v>48</v>
      </c>
      <c r="H39" s="19" t="n">
        <v>2512.33</v>
      </c>
      <c r="I39" s="19" t="n">
        <v>4331.72</v>
      </c>
      <c r="J39" s="18" t="n">
        <v>48</v>
      </c>
    </row>
    <row r="40" customFormat="false" ht="15" hidden="false" customHeight="false" outlineLevel="0" collapsed="false">
      <c r="A40" s="18" t="s">
        <v>60</v>
      </c>
      <c r="B40" s="18" t="s">
        <v>54</v>
      </c>
      <c r="C40" s="18" t="s">
        <v>55</v>
      </c>
      <c r="D40" s="18" t="s">
        <v>56</v>
      </c>
      <c r="E40" s="18"/>
      <c r="F40" s="18" t="n">
        <v>11610</v>
      </c>
      <c r="G40" s="18" t="n">
        <v>247</v>
      </c>
      <c r="H40" s="19" t="n">
        <v>231.6</v>
      </c>
      <c r="I40" s="19" t="n">
        <v>24089.32</v>
      </c>
      <c r="J40" s="18" t="n">
        <v>247</v>
      </c>
    </row>
    <row r="41" customFormat="false" ht="15" hidden="false" customHeight="false" outlineLevel="0" collapsed="false">
      <c r="A41" s="18" t="s">
        <v>60</v>
      </c>
      <c r="B41" s="18" t="s">
        <v>57</v>
      </c>
      <c r="C41" s="18" t="s">
        <v>55</v>
      </c>
      <c r="D41" s="18" t="s">
        <v>45</v>
      </c>
      <c r="E41" s="18"/>
      <c r="F41" s="18" t="n">
        <v>2519</v>
      </c>
      <c r="G41" s="18" t="n">
        <v>86</v>
      </c>
      <c r="H41" s="19" t="n">
        <v>24.93</v>
      </c>
      <c r="I41" s="19" t="n">
        <v>9854.54</v>
      </c>
      <c r="J41" s="18" t="n">
        <v>86</v>
      </c>
    </row>
    <row r="42" customFormat="false" ht="15" hidden="false" customHeight="false" outlineLevel="0" collapsed="false">
      <c r="A42" s="18" t="s">
        <v>61</v>
      </c>
      <c r="B42" s="18" t="s">
        <v>41</v>
      </c>
      <c r="C42" s="18" t="s">
        <v>42</v>
      </c>
      <c r="D42" s="18" t="s">
        <v>43</v>
      </c>
      <c r="E42" s="18" t="n">
        <v>135879</v>
      </c>
      <c r="F42" s="18" t="n">
        <v>3437</v>
      </c>
      <c r="G42" s="18" t="n">
        <v>91</v>
      </c>
      <c r="H42" s="19" t="n">
        <v>2234.76</v>
      </c>
      <c r="I42" s="19" t="n">
        <v>8367.13</v>
      </c>
      <c r="J42" s="18" t="n">
        <v>91</v>
      </c>
    </row>
    <row r="43" customFormat="false" ht="15" hidden="false" customHeight="false" outlineLevel="0" collapsed="false">
      <c r="A43" s="18" t="s">
        <v>61</v>
      </c>
      <c r="B43" s="18" t="s">
        <v>44</v>
      </c>
      <c r="C43" s="18" t="s">
        <v>42</v>
      </c>
      <c r="D43" s="18" t="s">
        <v>45</v>
      </c>
      <c r="E43" s="18" t="n">
        <v>47489</v>
      </c>
      <c r="F43" s="18" t="n">
        <v>1899</v>
      </c>
      <c r="G43" s="18" t="n">
        <v>118</v>
      </c>
      <c r="H43" s="19" t="n">
        <v>1557.52</v>
      </c>
      <c r="I43" s="19" t="n">
        <v>12713.06</v>
      </c>
      <c r="J43" s="18" t="n">
        <v>118</v>
      </c>
    </row>
    <row r="44" customFormat="false" ht="15" hidden="false" customHeight="false" outlineLevel="0" collapsed="false">
      <c r="A44" s="18" t="s">
        <v>61</v>
      </c>
      <c r="B44" s="18" t="s">
        <v>46</v>
      </c>
      <c r="C44" s="18" t="s">
        <v>42</v>
      </c>
      <c r="D44" s="18" t="s">
        <v>43</v>
      </c>
      <c r="E44" s="18" t="n">
        <v>107190</v>
      </c>
      <c r="F44" s="18" t="n">
        <v>2437</v>
      </c>
      <c r="G44" s="18" t="n">
        <v>42</v>
      </c>
      <c r="H44" s="19" t="n">
        <v>1706.72</v>
      </c>
      <c r="I44" s="19" t="n">
        <v>3726.8</v>
      </c>
      <c r="J44" s="18" t="n">
        <v>42</v>
      </c>
    </row>
    <row r="45" customFormat="false" ht="15" hidden="false" customHeight="false" outlineLevel="0" collapsed="false">
      <c r="A45" s="18" t="s">
        <v>61</v>
      </c>
      <c r="B45" s="18" t="s">
        <v>47</v>
      </c>
      <c r="C45" s="18" t="s">
        <v>48</v>
      </c>
      <c r="D45" s="18" t="s">
        <v>43</v>
      </c>
      <c r="E45" s="18" t="n">
        <v>14369</v>
      </c>
      <c r="F45" s="18" t="n">
        <v>712</v>
      </c>
      <c r="G45" s="18" t="n">
        <v>87</v>
      </c>
      <c r="H45" s="19" t="n">
        <v>748.26</v>
      </c>
      <c r="I45" s="19" t="n">
        <v>8964.53</v>
      </c>
      <c r="J45" s="18" t="n">
        <v>87</v>
      </c>
    </row>
    <row r="46" customFormat="false" ht="15" hidden="false" customHeight="false" outlineLevel="0" collapsed="false">
      <c r="A46" s="18" t="s">
        <v>61</v>
      </c>
      <c r="B46" s="18" t="s">
        <v>49</v>
      </c>
      <c r="C46" s="18" t="s">
        <v>48</v>
      </c>
      <c r="D46" s="18" t="s">
        <v>43</v>
      </c>
      <c r="E46" s="18" t="n">
        <v>80218</v>
      </c>
      <c r="F46" s="18" t="n">
        <v>1987</v>
      </c>
      <c r="G46" s="18" t="n">
        <v>59</v>
      </c>
      <c r="H46" s="19" t="n">
        <v>1688.49</v>
      </c>
      <c r="I46" s="19" t="n">
        <v>5500.4</v>
      </c>
      <c r="J46" s="18" t="n">
        <v>59</v>
      </c>
    </row>
    <row r="47" customFormat="false" ht="15" hidden="false" customHeight="false" outlineLevel="0" collapsed="false">
      <c r="A47" s="18" t="s">
        <v>61</v>
      </c>
      <c r="B47" s="18" t="s">
        <v>50</v>
      </c>
      <c r="C47" s="18" t="s">
        <v>48</v>
      </c>
      <c r="D47" s="18" t="s">
        <v>45</v>
      </c>
      <c r="E47" s="18" t="n">
        <v>45113</v>
      </c>
      <c r="F47" s="18" t="n">
        <v>1697</v>
      </c>
      <c r="G47" s="18" t="n">
        <v>88</v>
      </c>
      <c r="H47" s="19" t="n">
        <v>1612.75</v>
      </c>
      <c r="I47" s="19" t="n">
        <v>9763.79</v>
      </c>
      <c r="J47" s="18" t="n">
        <v>88</v>
      </c>
    </row>
    <row r="48" customFormat="false" ht="15" hidden="false" customHeight="false" outlineLevel="0" collapsed="false">
      <c r="A48" s="18" t="s">
        <v>61</v>
      </c>
      <c r="B48" s="18" t="s">
        <v>51</v>
      </c>
      <c r="C48" s="18" t="s">
        <v>52</v>
      </c>
      <c r="D48" s="18" t="s">
        <v>43</v>
      </c>
      <c r="E48" s="18" t="n">
        <v>246206</v>
      </c>
      <c r="F48" s="18" t="n">
        <v>5025</v>
      </c>
      <c r="G48" s="18" t="n">
        <v>48</v>
      </c>
      <c r="H48" s="19" t="n">
        <v>2914.57</v>
      </c>
      <c r="I48" s="19" t="n">
        <v>4091.37</v>
      </c>
      <c r="J48" s="18" t="n">
        <v>48</v>
      </c>
    </row>
    <row r="49" customFormat="false" ht="15" hidden="false" customHeight="false" outlineLevel="0" collapsed="false">
      <c r="A49" s="18" t="s">
        <v>61</v>
      </c>
      <c r="B49" s="18" t="s">
        <v>53</v>
      </c>
      <c r="C49" s="18" t="s">
        <v>52</v>
      </c>
      <c r="D49" s="18" t="s">
        <v>43</v>
      </c>
      <c r="E49" s="18" t="n">
        <v>196720</v>
      </c>
      <c r="F49" s="18" t="n">
        <v>3617</v>
      </c>
      <c r="G49" s="18" t="n">
        <v>42</v>
      </c>
      <c r="H49" s="19" t="n">
        <v>2243.09</v>
      </c>
      <c r="I49" s="19" t="n">
        <v>3867.49</v>
      </c>
      <c r="J49" s="18" t="n">
        <v>42</v>
      </c>
    </row>
    <row r="50" customFormat="false" ht="15" hidden="false" customHeight="false" outlineLevel="0" collapsed="false">
      <c r="A50" s="18" t="s">
        <v>61</v>
      </c>
      <c r="B50" s="18" t="s">
        <v>54</v>
      </c>
      <c r="C50" s="18" t="s">
        <v>55</v>
      </c>
      <c r="D50" s="18" t="s">
        <v>56</v>
      </c>
      <c r="E50" s="18"/>
      <c r="F50" s="18" t="n">
        <v>12441</v>
      </c>
      <c r="G50" s="18" t="n">
        <v>264</v>
      </c>
      <c r="H50" s="19" t="n">
        <v>248.19</v>
      </c>
      <c r="I50" s="19" t="n">
        <v>25814.6</v>
      </c>
      <c r="J50" s="18" t="n">
        <v>264</v>
      </c>
    </row>
    <row r="51" customFormat="false" ht="15" hidden="false" customHeight="false" outlineLevel="0" collapsed="false">
      <c r="A51" s="18" t="s">
        <v>61</v>
      </c>
      <c r="B51" s="18" t="s">
        <v>57</v>
      </c>
      <c r="C51" s="18" t="s">
        <v>55</v>
      </c>
      <c r="D51" s="18" t="s">
        <v>45</v>
      </c>
      <c r="E51" s="18"/>
      <c r="F51" s="18" t="n">
        <v>2239</v>
      </c>
      <c r="G51" s="18" t="n">
        <v>76</v>
      </c>
      <c r="H51" s="19" t="n">
        <v>22.16</v>
      </c>
      <c r="I51" s="19" t="n">
        <v>8759.47</v>
      </c>
      <c r="J51" s="18" t="n">
        <v>76</v>
      </c>
    </row>
    <row r="52" customFormat="false" ht="15" hidden="false" customHeight="false" outlineLevel="0" collapsed="false">
      <c r="A52" s="18" t="s">
        <v>62</v>
      </c>
      <c r="B52" s="18" t="s">
        <v>41</v>
      </c>
      <c r="C52" s="18" t="s">
        <v>42</v>
      </c>
      <c r="D52" s="18" t="s">
        <v>43</v>
      </c>
      <c r="E52" s="18" t="n">
        <v>122502</v>
      </c>
      <c r="F52" s="18" t="n">
        <v>3099</v>
      </c>
      <c r="G52" s="18" t="n">
        <v>82</v>
      </c>
      <c r="H52" s="19" t="n">
        <v>2014.76</v>
      </c>
      <c r="I52" s="19" t="n">
        <v>7543.44</v>
      </c>
      <c r="J52" s="18" t="n">
        <v>82</v>
      </c>
    </row>
    <row r="53" customFormat="false" ht="15" hidden="false" customHeight="false" outlineLevel="0" collapsed="false">
      <c r="A53" s="18" t="s">
        <v>62</v>
      </c>
      <c r="B53" s="18" t="s">
        <v>44</v>
      </c>
      <c r="C53" s="18" t="s">
        <v>42</v>
      </c>
      <c r="D53" s="18" t="s">
        <v>45</v>
      </c>
      <c r="E53" s="18" t="n">
        <v>51535</v>
      </c>
      <c r="F53" s="18" t="n">
        <v>2060</v>
      </c>
      <c r="G53" s="18" t="n">
        <v>128</v>
      </c>
      <c r="H53" s="19" t="n">
        <v>1690.24</v>
      </c>
      <c r="I53" s="19" t="n">
        <v>13796.31</v>
      </c>
      <c r="J53" s="18" t="n">
        <v>128</v>
      </c>
    </row>
    <row r="54" customFormat="false" ht="15" hidden="false" customHeight="false" outlineLevel="0" collapsed="false">
      <c r="A54" s="18" t="s">
        <v>62</v>
      </c>
      <c r="B54" s="18" t="s">
        <v>46</v>
      </c>
      <c r="C54" s="18" t="s">
        <v>42</v>
      </c>
      <c r="D54" s="18" t="s">
        <v>43</v>
      </c>
      <c r="E54" s="18" t="n">
        <v>108171</v>
      </c>
      <c r="F54" s="18" t="n">
        <v>2459</v>
      </c>
      <c r="G54" s="18" t="n">
        <v>42</v>
      </c>
      <c r="H54" s="19" t="n">
        <v>1722.33</v>
      </c>
      <c r="I54" s="19" t="n">
        <v>3760.89</v>
      </c>
      <c r="J54" s="18" t="n">
        <v>42</v>
      </c>
    </row>
    <row r="55" customFormat="false" ht="15" hidden="false" customHeight="false" outlineLevel="0" collapsed="false">
      <c r="A55" s="18" t="s">
        <v>62</v>
      </c>
      <c r="B55" s="18" t="s">
        <v>47</v>
      </c>
      <c r="C55" s="18" t="s">
        <v>48</v>
      </c>
      <c r="D55" s="18" t="s">
        <v>43</v>
      </c>
      <c r="E55" s="18" t="n">
        <v>16865</v>
      </c>
      <c r="F55" s="18" t="n">
        <v>836</v>
      </c>
      <c r="G55" s="18" t="n">
        <v>102</v>
      </c>
      <c r="H55" s="19" t="n">
        <v>878.28</v>
      </c>
      <c r="I55" s="19" t="n">
        <v>10522.21</v>
      </c>
      <c r="J55" s="18" t="n">
        <v>102</v>
      </c>
    </row>
    <row r="56" customFormat="false" ht="15" hidden="false" customHeight="false" outlineLevel="0" collapsed="false">
      <c r="A56" s="18" t="s">
        <v>62</v>
      </c>
      <c r="B56" s="18" t="s">
        <v>49</v>
      </c>
      <c r="C56" s="18" t="s">
        <v>48</v>
      </c>
      <c r="D56" s="18" t="s">
        <v>43</v>
      </c>
      <c r="E56" s="18" t="n">
        <v>97118</v>
      </c>
      <c r="F56" s="18" t="n">
        <v>2405</v>
      </c>
      <c r="G56" s="18" t="n">
        <v>71</v>
      </c>
      <c r="H56" s="19" t="n">
        <v>2044.21</v>
      </c>
      <c r="I56" s="19" t="n">
        <v>6659.16</v>
      </c>
      <c r="J56" s="18" t="n">
        <v>71</v>
      </c>
    </row>
    <row r="57" customFormat="false" ht="15" hidden="false" customHeight="false" outlineLevel="0" collapsed="false">
      <c r="A57" s="18" t="s">
        <v>62</v>
      </c>
      <c r="B57" s="18" t="s">
        <v>50</v>
      </c>
      <c r="C57" s="18" t="s">
        <v>48</v>
      </c>
      <c r="D57" s="18" t="s">
        <v>45</v>
      </c>
      <c r="E57" s="18" t="n">
        <v>36580</v>
      </c>
      <c r="F57" s="18" t="n">
        <v>1376</v>
      </c>
      <c r="G57" s="18" t="n">
        <v>71</v>
      </c>
      <c r="H57" s="19" t="n">
        <v>1307.7</v>
      </c>
      <c r="I57" s="19" t="n">
        <v>7916.99</v>
      </c>
      <c r="J57" s="18" t="n">
        <v>71</v>
      </c>
    </row>
    <row r="58" customFormat="false" ht="15" hidden="false" customHeight="false" outlineLevel="0" collapsed="false">
      <c r="A58" s="18" t="s">
        <v>62</v>
      </c>
      <c r="B58" s="18" t="s">
        <v>51</v>
      </c>
      <c r="C58" s="18" t="s">
        <v>52</v>
      </c>
      <c r="D58" s="18" t="s">
        <v>43</v>
      </c>
      <c r="E58" s="18" t="n">
        <v>288459</v>
      </c>
      <c r="F58" s="18" t="n">
        <v>5887</v>
      </c>
      <c r="G58" s="18" t="n">
        <v>56</v>
      </c>
      <c r="H58" s="19" t="n">
        <v>3414.75</v>
      </c>
      <c r="I58" s="19" t="n">
        <v>4793.5</v>
      </c>
      <c r="J58" s="18" t="n">
        <v>56</v>
      </c>
    </row>
    <row r="59" customFormat="false" ht="15" hidden="false" customHeight="false" outlineLevel="0" collapsed="false">
      <c r="A59" s="18" t="s">
        <v>62</v>
      </c>
      <c r="B59" s="18" t="s">
        <v>53</v>
      </c>
      <c r="C59" s="18" t="s">
        <v>52</v>
      </c>
      <c r="D59" s="18" t="s">
        <v>43</v>
      </c>
      <c r="E59" s="18" t="n">
        <v>198824</v>
      </c>
      <c r="F59" s="18" t="n">
        <v>3656</v>
      </c>
      <c r="G59" s="18" t="n">
        <v>43</v>
      </c>
      <c r="H59" s="19" t="n">
        <v>2267.07</v>
      </c>
      <c r="I59" s="19" t="n">
        <v>3908.85</v>
      </c>
      <c r="J59" s="18" t="n">
        <v>43</v>
      </c>
    </row>
    <row r="60" customFormat="false" ht="15" hidden="false" customHeight="false" outlineLevel="0" collapsed="false">
      <c r="A60" s="18" t="s">
        <v>62</v>
      </c>
      <c r="B60" s="18" t="s">
        <v>54</v>
      </c>
      <c r="C60" s="18" t="s">
        <v>55</v>
      </c>
      <c r="D60" s="18" t="s">
        <v>56</v>
      </c>
      <c r="E60" s="18"/>
      <c r="F60" s="18" t="n">
        <v>12218</v>
      </c>
      <c r="G60" s="18" t="n">
        <v>259</v>
      </c>
      <c r="H60" s="19" t="n">
        <v>243.75</v>
      </c>
      <c r="I60" s="19" t="n">
        <v>25352.37</v>
      </c>
      <c r="J60" s="18" t="n">
        <v>259</v>
      </c>
    </row>
    <row r="61" customFormat="false" ht="15" hidden="false" customHeight="false" outlineLevel="0" collapsed="false">
      <c r="A61" s="18" t="s">
        <v>62</v>
      </c>
      <c r="B61" s="18" t="s">
        <v>57</v>
      </c>
      <c r="C61" s="18" t="s">
        <v>55</v>
      </c>
      <c r="D61" s="18" t="s">
        <v>45</v>
      </c>
      <c r="E61" s="18"/>
      <c r="F61" s="18" t="n">
        <v>1997</v>
      </c>
      <c r="G61" s="18" t="n">
        <v>68</v>
      </c>
      <c r="H61" s="19" t="n">
        <v>19.77</v>
      </c>
      <c r="I61" s="19" t="n">
        <v>7814.03</v>
      </c>
      <c r="J61" s="18" t="n">
        <v>68</v>
      </c>
    </row>
    <row r="62" customFormat="false" ht="15" hidden="false" customHeight="false" outlineLevel="0" collapsed="false">
      <c r="A62" s="18" t="s">
        <v>63</v>
      </c>
      <c r="B62" s="18" t="s">
        <v>41</v>
      </c>
      <c r="C62" s="18" t="s">
        <v>42</v>
      </c>
      <c r="D62" s="18" t="s">
        <v>43</v>
      </c>
      <c r="E62" s="18" t="n">
        <v>148254</v>
      </c>
      <c r="F62" s="18" t="n">
        <v>3750</v>
      </c>
      <c r="G62" s="18" t="n">
        <v>99</v>
      </c>
      <c r="H62" s="19" t="n">
        <v>2438.3</v>
      </c>
      <c r="I62" s="19" t="n">
        <v>9129.18</v>
      </c>
      <c r="J62" s="18" t="n">
        <v>99</v>
      </c>
    </row>
    <row r="63" customFormat="false" ht="15" hidden="false" customHeight="false" outlineLevel="0" collapsed="false">
      <c r="A63" s="18" t="s">
        <v>63</v>
      </c>
      <c r="B63" s="18" t="s">
        <v>44</v>
      </c>
      <c r="C63" s="18" t="s">
        <v>42</v>
      </c>
      <c r="D63" s="18" t="s">
        <v>45</v>
      </c>
      <c r="E63" s="18" t="n">
        <v>39875</v>
      </c>
      <c r="F63" s="18" t="n">
        <v>1594</v>
      </c>
      <c r="G63" s="18" t="n">
        <v>99</v>
      </c>
      <c r="H63" s="19" t="n">
        <v>1307.8</v>
      </c>
      <c r="I63" s="19" t="n">
        <v>10674.73</v>
      </c>
      <c r="J63" s="18" t="n">
        <v>99</v>
      </c>
    </row>
    <row r="64" customFormat="false" ht="15" hidden="false" customHeight="false" outlineLevel="0" collapsed="false">
      <c r="A64" s="18" t="s">
        <v>63</v>
      </c>
      <c r="B64" s="18" t="s">
        <v>46</v>
      </c>
      <c r="C64" s="18" t="s">
        <v>42</v>
      </c>
      <c r="D64" s="18" t="s">
        <v>43</v>
      </c>
      <c r="E64" s="18" t="n">
        <v>94547</v>
      </c>
      <c r="F64" s="18" t="n">
        <v>2150</v>
      </c>
      <c r="G64" s="18" t="n">
        <v>37</v>
      </c>
      <c r="H64" s="19" t="n">
        <v>1505.4</v>
      </c>
      <c r="I64" s="19" t="n">
        <v>3287.21</v>
      </c>
      <c r="J64" s="18" t="n">
        <v>37</v>
      </c>
    </row>
    <row r="65" customFormat="false" ht="15" hidden="false" customHeight="false" outlineLevel="0" collapsed="false">
      <c r="A65" s="18" t="s">
        <v>63</v>
      </c>
      <c r="B65" s="18" t="s">
        <v>47</v>
      </c>
      <c r="C65" s="18" t="s">
        <v>48</v>
      </c>
      <c r="D65" s="18" t="s">
        <v>43</v>
      </c>
      <c r="E65" s="18" t="n">
        <v>17314</v>
      </c>
      <c r="F65" s="18" t="n">
        <v>858</v>
      </c>
      <c r="G65" s="18" t="n">
        <v>105</v>
      </c>
      <c r="H65" s="19" t="n">
        <v>901.63</v>
      </c>
      <c r="I65" s="19" t="n">
        <v>10801.97</v>
      </c>
      <c r="J65" s="18" t="n">
        <v>105</v>
      </c>
    </row>
    <row r="66" customFormat="false" ht="15" hidden="false" customHeight="false" outlineLevel="0" collapsed="false">
      <c r="A66" s="18" t="s">
        <v>63</v>
      </c>
      <c r="B66" s="18" t="s">
        <v>49</v>
      </c>
      <c r="C66" s="18" t="s">
        <v>48</v>
      </c>
      <c r="D66" s="18" t="s">
        <v>43</v>
      </c>
      <c r="E66" s="18" t="n">
        <v>77732</v>
      </c>
      <c r="F66" s="18" t="n">
        <v>1925</v>
      </c>
      <c r="G66" s="18" t="n">
        <v>57</v>
      </c>
      <c r="H66" s="19" t="n">
        <v>1636.15</v>
      </c>
      <c r="I66" s="19" t="n">
        <v>5329.89</v>
      </c>
      <c r="J66" s="18" t="n">
        <v>57</v>
      </c>
    </row>
    <row r="67" customFormat="false" ht="15" hidden="false" customHeight="false" outlineLevel="0" collapsed="false">
      <c r="A67" s="18" t="s">
        <v>63</v>
      </c>
      <c r="B67" s="18" t="s">
        <v>50</v>
      </c>
      <c r="C67" s="18" t="s">
        <v>48</v>
      </c>
      <c r="D67" s="18" t="s">
        <v>45</v>
      </c>
      <c r="E67" s="18" t="n">
        <v>44838</v>
      </c>
      <c r="F67" s="18" t="n">
        <v>1687</v>
      </c>
      <c r="G67" s="18" t="n">
        <v>87</v>
      </c>
      <c r="H67" s="19" t="n">
        <v>1602.91</v>
      </c>
      <c r="I67" s="19" t="n">
        <v>9704.22</v>
      </c>
      <c r="J67" s="18" t="n">
        <v>87</v>
      </c>
    </row>
    <row r="68" customFormat="false" ht="15" hidden="false" customHeight="false" outlineLevel="0" collapsed="false">
      <c r="A68" s="18" t="s">
        <v>63</v>
      </c>
      <c r="B68" s="18" t="s">
        <v>51</v>
      </c>
      <c r="C68" s="18" t="s">
        <v>52</v>
      </c>
      <c r="D68" s="18" t="s">
        <v>43</v>
      </c>
      <c r="E68" s="18" t="n">
        <v>255412</v>
      </c>
      <c r="F68" s="18" t="n">
        <v>5212</v>
      </c>
      <c r="G68" s="18" t="n">
        <v>50</v>
      </c>
      <c r="H68" s="19" t="n">
        <v>3023.54</v>
      </c>
      <c r="I68" s="19" t="n">
        <v>4244.34</v>
      </c>
      <c r="J68" s="18" t="n">
        <v>50</v>
      </c>
    </row>
    <row r="69" customFormat="false" ht="15" hidden="false" customHeight="false" outlineLevel="0" collapsed="false">
      <c r="A69" s="18" t="s">
        <v>63</v>
      </c>
      <c r="B69" s="18" t="s">
        <v>53</v>
      </c>
      <c r="C69" s="18" t="s">
        <v>52</v>
      </c>
      <c r="D69" s="18" t="s">
        <v>43</v>
      </c>
      <c r="E69" s="18" t="n">
        <v>180494</v>
      </c>
      <c r="F69" s="18" t="n">
        <v>3319</v>
      </c>
      <c r="G69" s="18" t="n">
        <v>39</v>
      </c>
      <c r="H69" s="19" t="n">
        <v>2058.07</v>
      </c>
      <c r="I69" s="19" t="n">
        <v>3548.49</v>
      </c>
      <c r="J69" s="18" t="n">
        <v>39</v>
      </c>
    </row>
    <row r="70" customFormat="false" ht="15" hidden="false" customHeight="false" outlineLevel="0" collapsed="false">
      <c r="A70" s="18" t="s">
        <v>63</v>
      </c>
      <c r="B70" s="18" t="s">
        <v>54</v>
      </c>
      <c r="C70" s="18" t="s">
        <v>55</v>
      </c>
      <c r="D70" s="18" t="s">
        <v>56</v>
      </c>
      <c r="E70" s="18"/>
      <c r="F70" s="18" t="n">
        <v>11379</v>
      </c>
      <c r="G70" s="18" t="n">
        <v>242</v>
      </c>
      <c r="H70" s="19" t="n">
        <v>227</v>
      </c>
      <c r="I70" s="19" t="n">
        <v>23610.74</v>
      </c>
      <c r="J70" s="18" t="n">
        <v>242</v>
      </c>
    </row>
    <row r="71" customFormat="false" ht="15" hidden="false" customHeight="false" outlineLevel="0" collapsed="false">
      <c r="A71" s="18" t="s">
        <v>63</v>
      </c>
      <c r="B71" s="18" t="s">
        <v>57</v>
      </c>
      <c r="C71" s="18" t="s">
        <v>55</v>
      </c>
      <c r="D71" s="18" t="s">
        <v>45</v>
      </c>
      <c r="E71" s="18"/>
      <c r="F71" s="18" t="n">
        <v>2355</v>
      </c>
      <c r="G71" s="18" t="n">
        <v>80</v>
      </c>
      <c r="H71" s="19" t="n">
        <v>23.31</v>
      </c>
      <c r="I71" s="19" t="n">
        <v>9214.99</v>
      </c>
      <c r="J71" s="18" t="n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3"/>
  </cols>
  <sheetData>
    <row r="1" customFormat="false" ht="19.7" hidden="false" customHeight="false" outlineLevel="0" collapsed="false">
      <c r="A1" s="20" t="s">
        <v>64</v>
      </c>
    </row>
    <row r="2" customFormat="false" ht="15" hidden="false" customHeight="false" outlineLevel="0" collapsed="false">
      <c r="A2" s="21" t="s">
        <v>65</v>
      </c>
    </row>
    <row r="4" customFormat="false" ht="39.55" hidden="false" customHeight="false" outlineLevel="0" collapsed="false">
      <c r="A4" s="9" t="s">
        <v>14</v>
      </c>
      <c r="B4" s="9" t="s">
        <v>66</v>
      </c>
      <c r="C4" s="9" t="s">
        <v>67</v>
      </c>
      <c r="D4" s="9" t="s">
        <v>16</v>
      </c>
      <c r="E4" s="9" t="s">
        <v>68</v>
      </c>
      <c r="F4" s="9" t="s">
        <v>69</v>
      </c>
      <c r="G4" s="9" t="s">
        <v>70</v>
      </c>
      <c r="H4" s="9" t="s">
        <v>71</v>
      </c>
      <c r="I4" s="9" t="s">
        <v>72</v>
      </c>
      <c r="J4" s="9" t="s">
        <v>73</v>
      </c>
    </row>
    <row r="5" customFormat="false" ht="15" hidden="false" customHeight="false" outlineLevel="0" collapsed="false">
      <c r="A5" s="13" t="s">
        <v>55</v>
      </c>
      <c r="B5" s="12" t="n">
        <f aca="false">SUMIF('Raw Data'!$C$2:$C$71,$A5,'Raw Data'!$E$2:$E$71)</f>
        <v>0</v>
      </c>
      <c r="C5" s="12" t="n">
        <f aca="false">SUMIF('Raw Data'!$C$2:$C$71,$A5,'Raw Data'!$F$2:$F$71)</f>
        <v>100213</v>
      </c>
      <c r="D5" s="12" t="n">
        <f aca="false">SUMIF('Raw Data'!$C$2:$C$71,$A5,'Raw Data'!$G$2:$G$71)</f>
        <v>2335</v>
      </c>
      <c r="E5" s="22" t="str">
        <f aca="false">IFERROR(C5/B5*100,"N/A")</f>
        <v>N/A</v>
      </c>
      <c r="F5" s="23" t="n">
        <v>15</v>
      </c>
      <c r="G5" s="22" t="str">
        <f aca="false">IFERROR(E5-F5,"N/A")</f>
        <v>N/A</v>
      </c>
      <c r="H5" s="22" t="n">
        <f aca="false">IFERROR(D5/C5*100,"N/A")</f>
        <v>2.33003702114496</v>
      </c>
      <c r="I5" s="23" t="n">
        <v>2.1</v>
      </c>
      <c r="J5" s="22" t="n">
        <f aca="false">IFERROR(H5-I5,"N/A")</f>
        <v>0.230037021144961</v>
      </c>
    </row>
    <row r="6" customFormat="false" ht="15" hidden="false" customHeight="false" outlineLevel="0" collapsed="false">
      <c r="A6" s="13" t="s">
        <v>42</v>
      </c>
      <c r="B6" s="12" t="n">
        <f aca="false">SUMIF('Raw Data'!$C$2:$C$71,$A6,'Raw Data'!$E$2:$E$71)</f>
        <v>1941612</v>
      </c>
      <c r="C6" s="12" t="n">
        <f aca="false">SUMIF('Raw Data'!$C$2:$C$71,$A6,'Raw Data'!$F$2:$F$71)</f>
        <v>51940</v>
      </c>
      <c r="D6" s="12" t="n">
        <f aca="false">SUMIF('Raw Data'!$C$2:$C$71,$A6,'Raw Data'!$G$2:$G$71)</f>
        <v>1674</v>
      </c>
      <c r="E6" s="22" t="n">
        <f aca="false">IFERROR(C6/B6*100,"N/A")</f>
        <v>2.67509677525685</v>
      </c>
      <c r="F6" s="23" t="n">
        <v>2.5</v>
      </c>
      <c r="G6" s="22" t="n">
        <f aca="false">IFERROR(E6-F6,"N/A")</f>
        <v>0.175096775256848</v>
      </c>
      <c r="H6" s="22" t="n">
        <f aca="false">IFERROR(D6/C6*100,"N/A")</f>
        <v>3.22294955718136</v>
      </c>
      <c r="I6" s="23" t="n">
        <v>3.8</v>
      </c>
      <c r="J6" s="22" t="n">
        <f aca="false">IFERROR(H6-I6,"N/A")</f>
        <v>-0.577050442818637</v>
      </c>
    </row>
    <row r="7" customFormat="false" ht="15" hidden="false" customHeight="false" outlineLevel="0" collapsed="false">
      <c r="A7" s="13" t="s">
        <v>48</v>
      </c>
      <c r="B7" s="12" t="n">
        <f aca="false">SUMIF('Raw Data'!$C$2:$C$71,$A7,'Raw Data'!$E$2:$E$71)</f>
        <v>978780</v>
      </c>
      <c r="C7" s="12" t="n">
        <f aca="false">SUMIF('Raw Data'!$C$2:$C$71,$A7,'Raw Data'!$F$2:$F$71)</f>
        <v>30613</v>
      </c>
      <c r="D7" s="12" t="n">
        <f aca="false">SUMIF('Raw Data'!$C$2:$C$71,$A7,'Raw Data'!$G$2:$G$71)</f>
        <v>1651</v>
      </c>
      <c r="E7" s="22" t="n">
        <f aca="false">IFERROR(C7/B7*100,"N/A")</f>
        <v>3.12766913913239</v>
      </c>
      <c r="F7" s="23" t="n">
        <v>5</v>
      </c>
      <c r="G7" s="22" t="n">
        <f aca="false">IFERROR(E7-F7,"N/A")</f>
        <v>-1.87233086086761</v>
      </c>
      <c r="H7" s="22" t="n">
        <f aca="false">IFERROR(D7/C7*100,"N/A")</f>
        <v>5.39313363603698</v>
      </c>
      <c r="I7" s="23" t="n">
        <v>4.5</v>
      </c>
      <c r="J7" s="22" t="n">
        <f aca="false">IFERROR(H7-I7,"N/A")</f>
        <v>0.893133636036978</v>
      </c>
    </row>
    <row r="8" customFormat="false" ht="15" hidden="false" customHeight="false" outlineLevel="0" collapsed="false">
      <c r="A8" s="13" t="s">
        <v>52</v>
      </c>
      <c r="B8" s="12" t="n">
        <f aca="false">SUMIF('Raw Data'!$C$2:$C$71,$A8,'Raw Data'!$E$2:$E$71)</f>
        <v>3260225</v>
      </c>
      <c r="C8" s="12" t="n">
        <f aca="false">SUMIF('Raw Data'!$C$2:$C$71,$A8,'Raw Data'!$F$2:$F$71)</f>
        <v>63698</v>
      </c>
      <c r="D8" s="12" t="n">
        <f aca="false">SUMIF('Raw Data'!$C$2:$C$71,$A8,'Raw Data'!$G$2:$G$71)</f>
        <v>663</v>
      </c>
      <c r="E8" s="22" t="n">
        <f aca="false">IFERROR(C8/B8*100,"N/A")</f>
        <v>1.95379153279298</v>
      </c>
      <c r="F8" s="23" t="n">
        <v>2</v>
      </c>
      <c r="G8" s="22" t="n">
        <f aca="false">IFERROR(E8-F8,"N/A")</f>
        <v>-0.0462084672070178</v>
      </c>
      <c r="H8" s="22" t="n">
        <f aca="false">IFERROR(D8/C8*100,"N/A")</f>
        <v>1.04084900624823</v>
      </c>
      <c r="I8" s="23" t="n">
        <v>0.9</v>
      </c>
      <c r="J8" s="22" t="n">
        <f aca="false">IFERROR(H8-I8,"N/A")</f>
        <v>0.140849006248234</v>
      </c>
    </row>
  </sheetData>
  <conditionalFormatting sqref="G5:G8">
    <cfRule type="expression" priority="2" aboveAverage="0" equalAverage="0" bottom="0" percent="0" rank="0" text="" dxfId="0">
      <formula>AND(ISNUMBER(G5),G5&gt;=0)</formula>
    </cfRule>
    <cfRule type="expression" priority="3" aboveAverage="0" equalAverage="0" bottom="0" percent="0" rank="0" text="" dxfId="1">
      <formula>AND(ISNUMBER(G5),G5&lt;0)</formula>
    </cfRule>
  </conditionalFormatting>
  <conditionalFormatting sqref="J5:J8">
    <cfRule type="expression" priority="4" aboveAverage="0" equalAverage="0" bottom="0" percent="0" rank="0" text="" dxfId="0">
      <formula>AND(ISNUMBER(J5),J5&gt;=0)</formula>
    </cfRule>
    <cfRule type="expression" priority="5" aboveAverage="0" equalAverage="0" bottom="0" percent="0" rank="0" text="" dxfId="1">
      <formula>AND(ISNUMBER(J5),J5&lt;0)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2" min="2" style="0" width="13"/>
  </cols>
  <sheetData>
    <row r="1" customFormat="false" ht="19.7" hidden="false" customHeight="false" outlineLevel="0" collapsed="false">
      <c r="A1" s="20" t="s">
        <v>74</v>
      </c>
    </row>
    <row r="3" customFormat="false" ht="15" hidden="false" customHeight="false" outlineLevel="0" collapsed="false">
      <c r="A3" s="3" t="s">
        <v>75</v>
      </c>
    </row>
    <row r="4" customFormat="false" ht="15" hidden="false" customHeight="false" outlineLevel="0" collapsed="false">
      <c r="A4" s="5" t="s">
        <v>76</v>
      </c>
      <c r="B4" s="24" t="n">
        <v>8</v>
      </c>
    </row>
    <row r="5" customFormat="false" ht="15" hidden="false" customHeight="false" outlineLevel="0" collapsed="false">
      <c r="A5" s="5" t="s">
        <v>77</v>
      </c>
      <c r="B5" s="6" t="n">
        <v>0.35</v>
      </c>
    </row>
    <row r="6" customFormat="false" ht="15" hidden="false" customHeight="false" outlineLevel="0" collapsed="false">
      <c r="A6" s="5" t="s">
        <v>78</v>
      </c>
      <c r="B6" s="25" t="n">
        <v>4</v>
      </c>
    </row>
    <row r="7" customFormat="false" ht="15" hidden="false" customHeight="false" outlineLevel="0" collapsed="false">
      <c r="A7" s="5" t="s">
        <v>79</v>
      </c>
      <c r="B7" s="24" t="n">
        <v>50</v>
      </c>
    </row>
    <row r="9" customFormat="false" ht="26.85" hidden="false" customHeight="false" outlineLevel="0" collapsed="false">
      <c r="A9" s="9" t="s">
        <v>14</v>
      </c>
      <c r="B9" s="9" t="s">
        <v>80</v>
      </c>
      <c r="C9" s="9" t="s">
        <v>81</v>
      </c>
      <c r="D9" s="9" t="s">
        <v>82</v>
      </c>
      <c r="E9" s="9" t="s">
        <v>16</v>
      </c>
      <c r="F9" s="9" t="s">
        <v>83</v>
      </c>
      <c r="G9" s="9" t="s">
        <v>84</v>
      </c>
      <c r="H9" s="9" t="s">
        <v>85</v>
      </c>
      <c r="I9" s="9" t="s">
        <v>17</v>
      </c>
      <c r="J9" s="9" t="s">
        <v>86</v>
      </c>
      <c r="K9" s="9" t="s">
        <v>87</v>
      </c>
      <c r="L9" s="9" t="s">
        <v>88</v>
      </c>
    </row>
    <row r="10" customFormat="false" ht="15" hidden="false" customHeight="false" outlineLevel="0" collapsed="false">
      <c r="A10" s="13" t="s">
        <v>55</v>
      </c>
      <c r="B10" s="11" t="n">
        <f aca="false">SUMIF('Raw Data'!$C$2:$C$71,$A10,'Raw Data'!$H$2:$H$71)</f>
        <v>1836.76</v>
      </c>
      <c r="C10" s="11" t="n">
        <f aca="false">SUMIF('Raw Data'!$C$2:$C$71,$A10,'Raw Data'!$I$2:$I$71)</f>
        <v>237630.53</v>
      </c>
      <c r="D10" s="12" t="n">
        <f aca="false">SUMIF('Raw Data'!$C$2:$C$71,$A10,'Raw Data'!$J$2:$J$71)</f>
        <v>2335</v>
      </c>
      <c r="E10" s="12" t="n">
        <f aca="false">SUMIF('Raw Data'!$C$2:$C$71,$A10,'Raw Data'!$G$2:$G$71)</f>
        <v>2335</v>
      </c>
      <c r="F10" s="26" t="n">
        <f aca="false">IFERROR(C10/B10,"N/A")</f>
        <v>129.374839391102</v>
      </c>
      <c r="G10" s="14" t="n">
        <f aca="false">IFERROR(B10/E10,"N/A")</f>
        <v>0.786620985010707</v>
      </c>
      <c r="H10" s="14" t="n">
        <f aca="false">B10+D10*$B$4+C10*$B$5</f>
        <v>103687.4455</v>
      </c>
      <c r="I10" s="14" t="n">
        <f aca="false">C10-H10</f>
        <v>133943.0845</v>
      </c>
      <c r="J10" s="13" t="str">
        <f aca="false">IF(F10&gt;=$B$6,"[OK] Above","[X] Below")</f>
        <v>[OK] Above</v>
      </c>
      <c r="K10" s="13" t="str">
        <f aca="false">IF(G10&lt;=$B$7,"[OK] Below","[X] Above")</f>
        <v>[OK] Below</v>
      </c>
      <c r="L10" s="13" t="str">
        <f aca="false">IF(I10&gt;0,"[OK] Positive","[X] Negative")</f>
        <v>[OK] Positive</v>
      </c>
    </row>
    <row r="11" customFormat="false" ht="15" hidden="false" customHeight="false" outlineLevel="0" collapsed="false">
      <c r="A11" s="13" t="s">
        <v>42</v>
      </c>
      <c r="B11" s="11" t="n">
        <f aca="false">SUMIF('Raw Data'!$C$2:$C$71,$A11,'Raw Data'!$H$2:$H$71)</f>
        <v>36678.01</v>
      </c>
      <c r="C11" s="11" t="n">
        <f aca="false">SUMIF('Raw Data'!$C$2:$C$71,$A11,'Raw Data'!$I$2:$I$71)</f>
        <v>165482.75</v>
      </c>
      <c r="D11" s="12" t="n">
        <f aca="false">SUMIF('Raw Data'!$C$2:$C$71,$A11,'Raw Data'!$J$2:$J$71)</f>
        <v>1674</v>
      </c>
      <c r="E11" s="12" t="n">
        <f aca="false">SUMIF('Raw Data'!$C$2:$C$71,$A11,'Raw Data'!$G$2:$G$71)</f>
        <v>1674</v>
      </c>
      <c r="F11" s="26" t="n">
        <f aca="false">IFERROR(C11/B11,"N/A")</f>
        <v>4.5117701314766</v>
      </c>
      <c r="G11" s="14" t="n">
        <f aca="false">IFERROR(B11/E11,"N/A")</f>
        <v>21.9104002389486</v>
      </c>
      <c r="H11" s="14" t="n">
        <f aca="false">B11+D11*$B$4+C11*$B$5</f>
        <v>107988.9725</v>
      </c>
      <c r="I11" s="14" t="n">
        <f aca="false">C11-H11</f>
        <v>57493.7775</v>
      </c>
      <c r="J11" s="13" t="str">
        <f aca="false">IF(F11&gt;=$B$6,"[OK] Above","[X] Below")</f>
        <v>[OK] Above</v>
      </c>
      <c r="K11" s="13" t="str">
        <f aca="false">IF(G11&lt;=$B$7,"[OK] Below","[X] Above")</f>
        <v>[OK] Below</v>
      </c>
      <c r="L11" s="13" t="str">
        <f aca="false">IF(I11&gt;0,"[OK] Positive","[X] Negative")</f>
        <v>[OK] Positive</v>
      </c>
    </row>
    <row r="12" customFormat="false" ht="15" hidden="false" customHeight="false" outlineLevel="0" collapsed="false">
      <c r="A12" s="13" t="s">
        <v>48</v>
      </c>
      <c r="B12" s="11" t="n">
        <f aca="false">SUMIF('Raw Data'!$C$2:$C$71,$A12,'Raw Data'!$H$2:$H$71)</f>
        <v>28184.51</v>
      </c>
      <c r="C12" s="11" t="n">
        <f aca="false">SUMIF('Raw Data'!$C$2:$C$71,$A12,'Raw Data'!$I$2:$I$71)</f>
        <v>170414.87</v>
      </c>
      <c r="D12" s="12" t="n">
        <f aca="false">SUMIF('Raw Data'!$C$2:$C$71,$A12,'Raw Data'!$J$2:$J$71)</f>
        <v>1651</v>
      </c>
      <c r="E12" s="12" t="n">
        <f aca="false">SUMIF('Raw Data'!$C$2:$C$71,$A12,'Raw Data'!$G$2:$G$71)</f>
        <v>1651</v>
      </c>
      <c r="F12" s="26" t="n">
        <f aca="false">IFERROR(C12/B12,"N/A")</f>
        <v>6.04640172917677</v>
      </c>
      <c r="G12" s="14" t="n">
        <f aca="false">IFERROR(B12/E12,"N/A")</f>
        <v>17.071175045427</v>
      </c>
      <c r="H12" s="14" t="n">
        <f aca="false">B12+D12*$B$4+C12*$B$5</f>
        <v>101037.7145</v>
      </c>
      <c r="I12" s="14" t="n">
        <f aca="false">C12-H12</f>
        <v>69377.1555</v>
      </c>
      <c r="J12" s="13" t="str">
        <f aca="false">IF(F12&gt;=$B$6,"[OK] Above","[X] Below")</f>
        <v>[OK] Above</v>
      </c>
      <c r="K12" s="13" t="str">
        <f aca="false">IF(G12&lt;=$B$7,"[OK] Below","[X] Above")</f>
        <v>[OK] Below</v>
      </c>
      <c r="L12" s="13" t="str">
        <f aca="false">IF(I12&gt;0,"[OK] Positive","[X] Negative")</f>
        <v>[OK] Positive</v>
      </c>
    </row>
    <row r="13" customFormat="false" ht="15" hidden="false" customHeight="false" outlineLevel="0" collapsed="false">
      <c r="A13" s="13" t="s">
        <v>52</v>
      </c>
      <c r="B13" s="11" t="n">
        <f aca="false">SUMIF('Raw Data'!$C$2:$C$71,$A13,'Raw Data'!$H$2:$H$71)</f>
        <v>37982.97</v>
      </c>
      <c r="C13" s="11" t="n">
        <f aca="false">SUMIF('Raw Data'!$C$2:$C$71,$A13,'Raw Data'!$I$2:$I$71)</f>
        <v>58447.71</v>
      </c>
      <c r="D13" s="12" t="n">
        <f aca="false">SUMIF('Raw Data'!$C$2:$C$71,$A13,'Raw Data'!$J$2:$J$71)</f>
        <v>663</v>
      </c>
      <c r="E13" s="12" t="n">
        <f aca="false">SUMIF('Raw Data'!$C$2:$C$71,$A13,'Raw Data'!$G$2:$G$71)</f>
        <v>663</v>
      </c>
      <c r="F13" s="26" t="n">
        <f aca="false">IFERROR(C13/B13,"N/A")</f>
        <v>1.53878725123391</v>
      </c>
      <c r="G13" s="14" t="n">
        <f aca="false">IFERROR(B13/E13,"N/A")</f>
        <v>57.2895475113122</v>
      </c>
      <c r="H13" s="14" t="n">
        <f aca="false">B13+D13*$B$4+C13*$B$5</f>
        <v>63743.6685</v>
      </c>
      <c r="I13" s="14" t="n">
        <f aca="false">C13-H13</f>
        <v>-5295.9585</v>
      </c>
      <c r="J13" s="13" t="str">
        <f aca="false">IF(F13&gt;=$B$6,"[OK] Above","[X] Below")</f>
        <v>[X] Below</v>
      </c>
      <c r="K13" s="13" t="str">
        <f aca="false">IF(G13&lt;=$B$7,"[OK] Below","[X] Above")</f>
        <v>[X] Above</v>
      </c>
      <c r="L13" s="13" t="str">
        <f aca="false">IF(I13&gt;0,"[OK] Positive","[X] Negative")</f>
        <v>[X] Negative</v>
      </c>
    </row>
  </sheetData>
  <conditionalFormatting sqref="J10:J13">
    <cfRule type="expression" priority="2" aboveAverage="0" equalAverage="0" bottom="0" percent="0" rank="0" text="" dxfId="0">
      <formula>ISNUMBER(SEARCH("[OK]",J10))</formula>
    </cfRule>
    <cfRule type="expression" priority="3" aboveAverage="0" equalAverage="0" bottom="0" percent="0" rank="0" text="" dxfId="1">
      <formula>ISNUMBER(SEARCH("[X]",J10))</formula>
    </cfRule>
  </conditionalFormatting>
  <conditionalFormatting sqref="K10:K13">
    <cfRule type="expression" priority="4" aboveAverage="0" equalAverage="0" bottom="0" percent="0" rank="0" text="" dxfId="0">
      <formula>ISNUMBER(SEARCH("[OK]",K10))</formula>
    </cfRule>
    <cfRule type="expression" priority="5" aboveAverage="0" equalAverage="0" bottom="0" percent="0" rank="0" text="" dxfId="1">
      <formula>ISNUMBER(SEARCH("[X]",K10))</formula>
    </cfRule>
  </conditionalFormatting>
  <conditionalFormatting sqref="L10:L13">
    <cfRule type="expression" priority="6" aboveAverage="0" equalAverage="0" bottom="0" percent="0" rank="0" text="" dxfId="0">
      <formula>ISNUMBER(SEARCH("[OK]",L10))</formula>
    </cfRule>
    <cfRule type="expression" priority="7" aboveAverage="0" equalAverage="0" bottom="0" percent="0" rank="0" text="" dxfId="1">
      <formula>ISNUMBER(SEARCH("[X]",L10))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2026-06-30T13:14:28Z</dcterms:created>
  <dc:creator>openpyxl</dc:creator>
  <dc:description/>
  <dc:language>en-US</dc:language>
  <cp:lastModifiedBy/>
  <dcterms:modified xsi:type="dcterms:W3CDTF">2026-06-30T13:14:28Z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